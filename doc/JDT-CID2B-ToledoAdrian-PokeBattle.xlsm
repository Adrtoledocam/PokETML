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drtoledoca\OneDrive - Education Vaud\ETML\CID2B\2\PortesOuvertes\PokeETMLBattleV2_0\"/>
    </mc:Choice>
  </mc:AlternateContent>
  <bookViews>
    <workbookView xWindow="225" yWindow="1440" windowWidth="21600" windowHeight="11385" activeTab="7"/>
  </bookViews>
  <sheets>
    <sheet name="Donnees" sheetId="7" r:id="rId1"/>
    <sheet name="Diagramme" sheetId="17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76" r:id="rId7"/>
    <sheet name="JNLTRAVl" sheetId="179" r:id="rId8"/>
    <sheet name="JNLTRAV" sheetId="163" state="hidden" r:id="rId9"/>
    <sheet name="Feuil1" sheetId="171" state="hidden" r:id="rId10"/>
    <sheet name="achievementWeek (2)" sheetId="174" state="hidden" r:id="rId11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10">'achievementWeek (2)'!$A$1:$D$19</definedName>
    <definedName name="objRealizedWeek" localSheetId="8">JNLTRAV!$A$1:$D$19</definedName>
    <definedName name="objRealizedWeek" localSheetId="7">JNLTRAVl!$A$1:$D$19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9" l="1"/>
  <c r="D115" i="179"/>
  <c r="D96" i="179"/>
  <c r="D77" i="179"/>
  <c r="D58" i="179"/>
  <c r="D39" i="179"/>
  <c r="D20" i="179"/>
  <c r="D1" i="179"/>
  <c r="B151" i="179"/>
  <c r="B132" i="179"/>
  <c r="B113" i="179"/>
  <c r="B94" i="179"/>
  <c r="B75" i="179"/>
  <c r="B56" i="179"/>
  <c r="B37" i="179"/>
  <c r="B18" i="179"/>
  <c r="B29" i="178"/>
  <c r="B27" i="178"/>
  <c r="B25" i="178"/>
  <c r="B23" i="178"/>
  <c r="B21" i="178"/>
  <c r="B19" i="178"/>
  <c r="B17" i="178"/>
  <c r="B15" i="178"/>
  <c r="B13" i="178"/>
  <c r="B11" i="178"/>
  <c r="B9" i="178"/>
  <c r="B7" i="178"/>
  <c r="B5" i="178"/>
  <c r="C32" i="178"/>
  <c r="C31" i="178"/>
  <c r="B111" i="176" l="1"/>
  <c r="B97" i="176"/>
  <c r="B83" i="176"/>
  <c r="B69" i="176"/>
  <c r="B55" i="176"/>
  <c r="B41" i="176"/>
  <c r="B27" i="176"/>
  <c r="B13" i="176"/>
  <c r="B18" i="174"/>
  <c r="D1" i="163" l="1"/>
  <c r="D20" i="163" s="1"/>
  <c r="B132" i="163"/>
  <c r="B113" i="163"/>
  <c r="B94" i="163"/>
  <c r="B75" i="163"/>
  <c r="B56" i="163"/>
  <c r="B37" i="163"/>
  <c r="B18" i="163"/>
  <c r="D39" i="163" l="1"/>
  <c r="D58" i="163" s="1"/>
  <c r="D77" i="163" s="1"/>
  <c r="D96" i="163" s="1"/>
  <c r="D115" i="163" s="1"/>
  <c r="B18" i="154"/>
  <c r="B13" i="11" l="1"/>
</calcChain>
</file>

<file path=xl/sharedStrings.xml><?xml version="1.0" encoding="utf-8"?>
<sst xmlns="http://schemas.openxmlformats.org/spreadsheetml/2006/main" count="309" uniqueCount="86">
  <si>
    <t>Semestre</t>
  </si>
  <si>
    <t>Prénom - nom :</t>
  </si>
  <si>
    <t>Classe :</t>
  </si>
  <si>
    <t>Lieu :</t>
  </si>
  <si>
    <t>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</si>
  <si>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</si>
  <si>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</si>
  <si>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</si>
  <si>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</si>
  <si>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</si>
  <si>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</si>
  <si>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</si>
  <si>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</si>
  <si>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</si>
  <si>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</si>
  <si>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</si>
  <si>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</si>
  <si>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</si>
  <si>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</si>
  <si>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</si>
  <si>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</si>
  <si>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</si>
  <si>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</si>
  <si>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</si>
  <si>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</si>
  <si>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12</t>
  </si>
  <si>
    <t>STOP</t>
  </si>
  <si>
    <t>Rapport de projet</t>
  </si>
  <si>
    <t>MLD</t>
  </si>
  <si>
    <t>CSV - MCD</t>
  </si>
  <si>
    <t>Tables MCD</t>
  </si>
  <si>
    <t>Analyse du site web</t>
  </si>
  <si>
    <t>Inconvénients</t>
  </si>
  <si>
    <t>Absent</t>
  </si>
  <si>
    <t>Rédaction du journal de travail</t>
  </si>
  <si>
    <t>Présentation du projet et de ses paramètres</t>
  </si>
  <si>
    <t>Création du journal de travail</t>
  </si>
  <si>
    <t>https://open.spotify.com/</t>
  </si>
  <si>
    <t>Choix du site web, identifier ses éléments et sa structure</t>
  </si>
  <si>
    <t>Créez un nouveau document Word pour le projet. Réalisation de : la page de couverture du fichier word ; 1) Introduction au projet ; 2) Description de l’application Web dans son ensemble ; 3) Définition du périmètre étudié ; 4) Cas types d’utilisation</t>
  </si>
  <si>
    <t>Mis a jour</t>
  </si>
  <si>
    <t>Affaires personnelles</t>
  </si>
  <si>
    <t>Analyser et identifier les éléments nécessaires à la réalisation des MCD Et apprentissage de l'utilisation du programme Looping</t>
  </si>
  <si>
    <t>Premiers tableaux identifiables et ses connexions</t>
  </si>
  <si>
    <t xml:space="preserve">Mise à jour du journal de travail </t>
  </si>
  <si>
    <t>Finalisation des tables du MCD avec leurs connexions, attributs et valeurs.</t>
  </si>
  <si>
    <t>Transférer les croquis du tableau MCD sur le programme Looping.</t>
  </si>
  <si>
    <t>Transférer les croquis à tableau MCD sur le programme Looping.</t>
  </si>
  <si>
    <t>Transformer le format MCD en MLD</t>
  </si>
  <si>
    <t>Vacances</t>
  </si>
  <si>
    <t>Recherche d'informations</t>
  </si>
  <si>
    <t>Installation des systèmes d'exploitation</t>
  </si>
  <si>
    <t>Test</t>
  </si>
  <si>
    <t>Vérification du travail</t>
  </si>
  <si>
    <t>Planification</t>
  </si>
  <si>
    <t>CID2B</t>
  </si>
  <si>
    <t>Apprentissage par vidéo</t>
  </si>
  <si>
    <t>Max. 9</t>
  </si>
  <si>
    <t>S 1</t>
  </si>
  <si>
    <t>S 2</t>
  </si>
  <si>
    <t>S 3</t>
  </si>
  <si>
    <t>S 4</t>
  </si>
  <si>
    <t>S 5</t>
  </si>
  <si>
    <t>S 6</t>
  </si>
  <si>
    <t>S 7</t>
  </si>
  <si>
    <t>S 8</t>
  </si>
  <si>
    <t xml:space="preserve">Adrian TOLEDO </t>
  </si>
  <si>
    <t>Apprendre à connaître la langue JS</t>
  </si>
  <si>
    <t>Programmation JavaScript - PokeBattle</t>
  </si>
  <si>
    <t>Programmation HTML - PokeBattle</t>
  </si>
  <si>
    <t>Programmation CSS - PokeBattle</t>
  </si>
  <si>
    <t xml:space="preserve">https://www.youtube.com/watch?v=yP5DKzriqXA&amp;t=16479s </t>
  </si>
  <si>
    <t>Installation des logiciels : VisualCode, Teams et OneDrive</t>
  </si>
  <si>
    <t>Liste de tâches sur papier "TODO"</t>
  </si>
  <si>
    <t>Revue vidéo pour apprendre à créer une interface de combat pokemon.</t>
  </si>
  <si>
    <t>Création du document de journal de travail et mise à jour.</t>
  </si>
  <si>
    <t>- Création de la structure de PokeBattleWeb : background, barres de vie, ennemis sur cartes, menu de combat, boutons d'attaque et d'échappement, implémentation du style de police.</t>
  </si>
  <si>
    <t>Positionnement correct des éléments, taille correcte des images, insertion de la police de texte.</t>
  </si>
  <si>
    <t>Fonctions de damage et la vie (non terminé).</t>
  </si>
  <si>
    <t>Recherchez des cartes pokémon et personnalisez-les.</t>
  </si>
  <si>
    <t>Reprendre le projet su premier semestre par les Portes Ouvertes - PokeBattleEtml</t>
  </si>
  <si>
    <t>Structurer tout le code pour créer un véritable scénario de combat de pokémons.</t>
  </si>
  <si>
    <t>Créer la fonction des boutons, l'attaque, reaction de la barre de vie, et pouvoir passer d'un menu à l'autre dans le jeu.</t>
  </si>
  <si>
    <t>Mise à jour de mon journal de travail</t>
  </si>
  <si>
    <t>Le système d'attaque endommage et modifie les ennemis
Changement de bouton lors du changement de menu
Couleurs des boutons lorsqu'ils ne sont pas utilisables
Système de victoire et de défaite complété</t>
  </si>
  <si>
    <t>Carte de l'école de base complétée
Montrer au joueur
Déplacer le joueur
Et implémenter les collisions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</si>
</sst>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" fillId="0" borderId="2" xfId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219075</xdr:rowOff>
        </xdr:from>
        <xdr:to>
          <xdr:col>6</xdr:col>
          <xdr:colOff>114300</xdr:colOff>
          <xdr:row>10</xdr:row>
          <xdr:rowOff>180975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1681" name="btnImportPlanification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7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78849" name="btnImportRealisation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8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6561" name="btnImportRealisation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youtube.com/watch?v=yP5DKzriqXA&amp;t=16479s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open.spotify.com/" TargetMode="External"/><Relationship Id="rId6" Type="http://schemas.openxmlformats.org/officeDocument/2006/relationships/image" Target="../media/image9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topLeftCell="A19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66</v>
      </c>
      <c r="D4" s="59"/>
      <c r="E4" s="59"/>
      <c r="F4" s="59"/>
      <c r="G4" s="60"/>
    </row>
    <row r="5" spans="1:7" ht="20.25" x14ac:dyDescent="0.25">
      <c r="A5" s="58"/>
      <c r="B5" s="63" t="s">
        <v>2</v>
      </c>
      <c r="C5" s="64" t="s">
        <v>55</v>
      </c>
      <c r="D5" s="59"/>
      <c r="E5" s="59"/>
      <c r="F5" s="59"/>
      <c r="G5" s="60"/>
    </row>
    <row r="6" spans="1:7" ht="21" thickBot="1" x14ac:dyDescent="0.3">
      <c r="A6" s="58"/>
      <c r="B6" s="65" t="s">
        <v>3</v>
      </c>
      <c r="C6" s="66" t="s">
        <v>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45205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45299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2" t="s">
        <v>11</v>
      </c>
      <c r="C19" s="123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80" t="s">
        <v>49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67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50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68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51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69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34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52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53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56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54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70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219075</xdr:rowOff>
              </from>
              <to>
                <xdr:col>6</xdr:col>
                <xdr:colOff>114300</xdr:colOff>
                <xdr:row>10</xdr:row>
                <xdr:rowOff>180975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99" ht="14.25" thickBot="1" x14ac:dyDescent="0.3">
      <c r="B1" s="91"/>
      <c r="C1" s="91"/>
    </row>
    <row r="2" spans="1:99" ht="42.75" customHeight="1" thickBot="1" x14ac:dyDescent="0.3">
      <c r="A2" s="92"/>
      <c r="B2" s="93" t="s">
        <v>13</v>
      </c>
      <c r="C2" s="94" t="s">
        <v>14</v>
      </c>
      <c r="D2" s="126" t="s">
        <v>58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  <c r="P2" s="126" t="s">
        <v>59</v>
      </c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126" t="s">
        <v>60</v>
      </c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8"/>
      <c r="AN2" s="126" t="s">
        <v>61</v>
      </c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8"/>
      <c r="AZ2" s="126" t="s">
        <v>62</v>
      </c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26" t="s">
        <v>63</v>
      </c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8"/>
      <c r="BX2" s="126" t="s">
        <v>64</v>
      </c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8"/>
      <c r="CJ2" s="126" t="s">
        <v>65</v>
      </c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8"/>
    </row>
    <row r="3" spans="1:99" ht="19.5" customHeight="1" x14ac:dyDescent="0.25">
      <c r="A3" s="92"/>
      <c r="B3" s="129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98"/>
      <c r="M3" s="99"/>
      <c r="N3" s="97"/>
      <c r="O3" s="100"/>
      <c r="P3" s="96"/>
      <c r="Q3" s="97"/>
      <c r="R3" s="98"/>
      <c r="S3" s="99"/>
      <c r="T3" s="97"/>
      <c r="U3" s="98"/>
      <c r="V3" s="99"/>
      <c r="W3" s="97"/>
      <c r="X3" s="98"/>
      <c r="Y3" s="99"/>
      <c r="Z3" s="97"/>
      <c r="AA3" s="100"/>
      <c r="AB3" s="96"/>
      <c r="AC3" s="97"/>
      <c r="AD3" s="98"/>
      <c r="AE3" s="99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98"/>
      <c r="AW3" s="99"/>
      <c r="AX3" s="97"/>
      <c r="AY3" s="100"/>
      <c r="AZ3" s="96"/>
      <c r="BA3" s="97"/>
      <c r="BB3" s="98"/>
      <c r="BC3" s="99"/>
      <c r="BD3" s="97"/>
      <c r="BE3" s="98"/>
      <c r="BF3" s="99"/>
      <c r="BG3" s="97"/>
      <c r="BH3" s="98"/>
      <c r="BI3" s="99"/>
      <c r="BJ3" s="97"/>
      <c r="BK3" s="100"/>
      <c r="BL3" s="96"/>
      <c r="BM3" s="97"/>
      <c r="BN3" s="98"/>
      <c r="BO3" s="99"/>
      <c r="BP3" s="97"/>
      <c r="BQ3" s="98"/>
      <c r="BR3" s="99"/>
      <c r="BS3" s="97"/>
      <c r="BT3" s="98"/>
      <c r="BU3" s="99"/>
      <c r="BV3" s="97"/>
      <c r="BW3" s="100"/>
      <c r="BX3" s="96"/>
      <c r="BY3" s="97"/>
      <c r="BZ3" s="98"/>
      <c r="CA3" s="99"/>
      <c r="CB3" s="97"/>
      <c r="CC3" s="98"/>
      <c r="CD3" s="99"/>
      <c r="CE3" s="97"/>
      <c r="CF3" s="98"/>
      <c r="CG3" s="99"/>
      <c r="CH3" s="97"/>
      <c r="CI3" s="100"/>
      <c r="CJ3" s="96"/>
      <c r="CK3" s="97"/>
      <c r="CL3" s="98"/>
      <c r="CM3" s="99"/>
      <c r="CN3" s="97"/>
      <c r="CO3" s="98"/>
      <c r="CP3" s="99"/>
      <c r="CQ3" s="97"/>
      <c r="CR3" s="98"/>
      <c r="CS3" s="99"/>
      <c r="CT3" s="97"/>
      <c r="CU3" s="100"/>
    </row>
    <row r="4" spans="1:99" ht="19.5" customHeight="1" thickBot="1" x14ac:dyDescent="0.3">
      <c r="A4" s="92"/>
      <c r="B4" s="130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4"/>
      <c r="M4" s="105"/>
      <c r="N4" s="103"/>
      <c r="O4" s="106"/>
      <c r="P4" s="102"/>
      <c r="Q4" s="103"/>
      <c r="R4" s="104"/>
      <c r="S4" s="105"/>
      <c r="T4" s="103"/>
      <c r="U4" s="104"/>
      <c r="V4" s="105"/>
      <c r="W4" s="103"/>
      <c r="X4" s="104"/>
      <c r="Y4" s="105"/>
      <c r="Z4" s="103"/>
      <c r="AA4" s="106"/>
      <c r="AB4" s="102"/>
      <c r="AC4" s="103"/>
      <c r="AD4" s="104"/>
      <c r="AE4" s="105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4"/>
      <c r="AW4" s="105"/>
      <c r="AX4" s="103"/>
      <c r="AY4" s="106"/>
      <c r="AZ4" s="102"/>
      <c r="BA4" s="103"/>
      <c r="BB4" s="104"/>
      <c r="BC4" s="105"/>
      <c r="BD4" s="103"/>
      <c r="BE4" s="104"/>
      <c r="BF4" s="105"/>
      <c r="BG4" s="103"/>
      <c r="BH4" s="104"/>
      <c r="BI4" s="105"/>
      <c r="BJ4" s="103"/>
      <c r="BK4" s="106"/>
      <c r="BL4" s="102"/>
      <c r="BM4" s="103"/>
      <c r="BN4" s="104"/>
      <c r="BO4" s="105"/>
      <c r="BP4" s="103"/>
      <c r="BQ4" s="104"/>
      <c r="BR4" s="105"/>
      <c r="BS4" s="103"/>
      <c r="BT4" s="104"/>
      <c r="BU4" s="105"/>
      <c r="BV4" s="103"/>
      <c r="BW4" s="106"/>
      <c r="BX4" s="102"/>
      <c r="BY4" s="103"/>
      <c r="BZ4" s="104"/>
      <c r="CA4" s="105"/>
      <c r="CB4" s="103"/>
      <c r="CC4" s="104"/>
      <c r="CD4" s="105"/>
      <c r="CE4" s="103"/>
      <c r="CF4" s="104"/>
      <c r="CG4" s="105"/>
      <c r="CH4" s="103"/>
      <c r="CI4" s="106"/>
      <c r="CJ4" s="102"/>
      <c r="CK4" s="103"/>
      <c r="CL4" s="104"/>
      <c r="CM4" s="105"/>
      <c r="CN4" s="103"/>
      <c r="CO4" s="104"/>
      <c r="CP4" s="105"/>
      <c r="CQ4" s="103"/>
      <c r="CR4" s="104"/>
      <c r="CS4" s="105"/>
      <c r="CT4" s="103"/>
      <c r="CU4" s="106"/>
    </row>
    <row r="5" spans="1:99" ht="19.5" customHeight="1" x14ac:dyDescent="0.25">
      <c r="B5" s="131" t="str">
        <f>Donnees!$C$21</f>
        <v>Apprendre à connaître la langue JS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98"/>
      <c r="M5" s="99"/>
      <c r="N5" s="97"/>
      <c r="O5" s="100"/>
      <c r="P5" s="96"/>
      <c r="Q5" s="97"/>
      <c r="R5" s="98"/>
      <c r="S5" s="99"/>
      <c r="T5" s="97"/>
      <c r="U5" s="98"/>
      <c r="V5" s="99"/>
      <c r="W5" s="97"/>
      <c r="X5" s="98"/>
      <c r="Y5" s="99"/>
      <c r="Z5" s="97"/>
      <c r="AA5" s="100"/>
      <c r="AB5" s="96"/>
      <c r="AC5" s="97"/>
      <c r="AD5" s="98"/>
      <c r="AE5" s="99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98"/>
      <c r="AW5" s="99"/>
      <c r="AX5" s="97"/>
      <c r="AY5" s="100"/>
      <c r="AZ5" s="96"/>
      <c r="BA5" s="97"/>
      <c r="BB5" s="98"/>
      <c r="BC5" s="99"/>
      <c r="BD5" s="97"/>
      <c r="BE5" s="98"/>
      <c r="BF5" s="99"/>
      <c r="BG5" s="97"/>
      <c r="BH5" s="98"/>
      <c r="BI5" s="99"/>
      <c r="BJ5" s="97"/>
      <c r="BK5" s="100"/>
      <c r="BL5" s="96"/>
      <c r="BM5" s="97"/>
      <c r="BN5" s="98"/>
      <c r="BO5" s="99"/>
      <c r="BP5" s="97"/>
      <c r="BQ5" s="98"/>
      <c r="BR5" s="99"/>
      <c r="BS5" s="97"/>
      <c r="BT5" s="98"/>
      <c r="BU5" s="99"/>
      <c r="BV5" s="97"/>
      <c r="BW5" s="100"/>
      <c r="BX5" s="96"/>
      <c r="BY5" s="97"/>
      <c r="BZ5" s="98"/>
      <c r="CA5" s="99"/>
      <c r="CB5" s="97"/>
      <c r="CC5" s="98"/>
      <c r="CD5" s="99"/>
      <c r="CE5" s="97"/>
      <c r="CF5" s="98"/>
      <c r="CG5" s="99"/>
      <c r="CH5" s="97"/>
      <c r="CI5" s="100"/>
      <c r="CJ5" s="96"/>
      <c r="CK5" s="97"/>
      <c r="CL5" s="98"/>
      <c r="CM5" s="99"/>
      <c r="CN5" s="97"/>
      <c r="CO5" s="98"/>
      <c r="CP5" s="99"/>
      <c r="CQ5" s="97"/>
      <c r="CR5" s="98"/>
      <c r="CS5" s="99"/>
      <c r="CT5" s="97"/>
      <c r="CU5" s="100"/>
    </row>
    <row r="6" spans="1:99" ht="19.5" customHeight="1" thickBot="1" x14ac:dyDescent="0.3">
      <c r="B6" s="125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4"/>
      <c r="M6" s="105"/>
      <c r="N6" s="103"/>
      <c r="O6" s="106"/>
      <c r="P6" s="102"/>
      <c r="Q6" s="103"/>
      <c r="R6" s="104"/>
      <c r="S6" s="105"/>
      <c r="T6" s="103"/>
      <c r="U6" s="104"/>
      <c r="V6" s="105"/>
      <c r="W6" s="103"/>
      <c r="X6" s="104"/>
      <c r="Y6" s="105"/>
      <c r="Z6" s="103"/>
      <c r="AA6" s="106"/>
      <c r="AB6" s="102"/>
      <c r="AC6" s="103"/>
      <c r="AD6" s="104"/>
      <c r="AE6" s="105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4"/>
      <c r="AW6" s="105"/>
      <c r="AX6" s="103"/>
      <c r="AY6" s="106"/>
      <c r="AZ6" s="102"/>
      <c r="BA6" s="103"/>
      <c r="BB6" s="104"/>
      <c r="BC6" s="105"/>
      <c r="BD6" s="103"/>
      <c r="BE6" s="104"/>
      <c r="BF6" s="105"/>
      <c r="BG6" s="103"/>
      <c r="BH6" s="104"/>
      <c r="BI6" s="105"/>
      <c r="BJ6" s="103"/>
      <c r="BK6" s="106"/>
      <c r="BL6" s="102"/>
      <c r="BM6" s="103"/>
      <c r="BN6" s="104"/>
      <c r="BO6" s="105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4"/>
      <c r="CG6" s="105"/>
      <c r="CH6" s="103"/>
      <c r="CI6" s="106"/>
      <c r="CJ6" s="102"/>
      <c r="CK6" s="103"/>
      <c r="CL6" s="104"/>
      <c r="CM6" s="105"/>
      <c r="CN6" s="103"/>
      <c r="CO6" s="104"/>
      <c r="CP6" s="105"/>
      <c r="CQ6" s="103"/>
      <c r="CR6" s="104"/>
      <c r="CS6" s="105"/>
      <c r="CT6" s="103"/>
      <c r="CU6" s="106"/>
    </row>
    <row r="7" spans="1:99" ht="19.5" customHeight="1" x14ac:dyDescent="0.25">
      <c r="B7" s="124" t="str">
        <f>Donnees!$C$22</f>
        <v>Recherche d'informations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98"/>
      <c r="M7" s="99"/>
      <c r="N7" s="97"/>
      <c r="O7" s="100"/>
      <c r="P7" s="96"/>
      <c r="Q7" s="97"/>
      <c r="R7" s="98"/>
      <c r="S7" s="99"/>
      <c r="T7" s="97"/>
      <c r="U7" s="98"/>
      <c r="V7" s="99"/>
      <c r="W7" s="97"/>
      <c r="X7" s="98"/>
      <c r="Y7" s="99"/>
      <c r="Z7" s="97"/>
      <c r="AA7" s="100"/>
      <c r="AB7" s="96"/>
      <c r="AC7" s="97"/>
      <c r="AD7" s="98"/>
      <c r="AE7" s="99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98"/>
      <c r="AW7" s="99"/>
      <c r="AX7" s="97"/>
      <c r="AY7" s="100"/>
      <c r="AZ7" s="96"/>
      <c r="BA7" s="97"/>
      <c r="BB7" s="98"/>
      <c r="BC7" s="99"/>
      <c r="BD7" s="97"/>
      <c r="BE7" s="98"/>
      <c r="BF7" s="99"/>
      <c r="BG7" s="97"/>
      <c r="BH7" s="98"/>
      <c r="BI7" s="99"/>
      <c r="BJ7" s="97"/>
      <c r="BK7" s="100"/>
      <c r="BL7" s="96"/>
      <c r="BM7" s="97"/>
      <c r="BN7" s="98"/>
      <c r="BO7" s="99"/>
      <c r="BP7" s="97"/>
      <c r="BQ7" s="98"/>
      <c r="BR7" s="99"/>
      <c r="BS7" s="97"/>
      <c r="BT7" s="98"/>
      <c r="BU7" s="99"/>
      <c r="BV7" s="97"/>
      <c r="BW7" s="100"/>
      <c r="BX7" s="96"/>
      <c r="BY7" s="97"/>
      <c r="BZ7" s="98"/>
      <c r="CA7" s="99"/>
      <c r="CB7" s="97"/>
      <c r="CC7" s="98"/>
      <c r="CD7" s="99"/>
      <c r="CE7" s="97"/>
      <c r="CF7" s="98"/>
      <c r="CG7" s="99"/>
      <c r="CH7" s="97"/>
      <c r="CI7" s="100"/>
      <c r="CJ7" s="96"/>
      <c r="CK7" s="97"/>
      <c r="CL7" s="98"/>
      <c r="CM7" s="99"/>
      <c r="CN7" s="97"/>
      <c r="CO7" s="98"/>
      <c r="CP7" s="99"/>
      <c r="CQ7" s="97"/>
      <c r="CR7" s="98"/>
      <c r="CS7" s="99"/>
      <c r="CT7" s="97"/>
      <c r="CU7" s="100"/>
    </row>
    <row r="8" spans="1:99" ht="19.5" customHeight="1" thickBot="1" x14ac:dyDescent="0.3">
      <c r="B8" s="125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4"/>
      <c r="M8" s="105"/>
      <c r="N8" s="103"/>
      <c r="O8" s="106"/>
      <c r="P8" s="102"/>
      <c r="Q8" s="103"/>
      <c r="R8" s="104"/>
      <c r="S8" s="105"/>
      <c r="T8" s="103"/>
      <c r="U8" s="104"/>
      <c r="V8" s="105"/>
      <c r="W8" s="103"/>
      <c r="X8" s="104"/>
      <c r="Y8" s="105"/>
      <c r="Z8" s="103"/>
      <c r="AA8" s="106"/>
      <c r="AB8" s="102"/>
      <c r="AC8" s="103"/>
      <c r="AD8" s="104"/>
      <c r="AE8" s="105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4"/>
      <c r="AW8" s="105"/>
      <c r="AX8" s="103"/>
      <c r="AY8" s="106"/>
      <c r="AZ8" s="102"/>
      <c r="BA8" s="103"/>
      <c r="BB8" s="104"/>
      <c r="BC8" s="105"/>
      <c r="BD8" s="103"/>
      <c r="BE8" s="104"/>
      <c r="BF8" s="105"/>
      <c r="BG8" s="103"/>
      <c r="BH8" s="104"/>
      <c r="BI8" s="105"/>
      <c r="BJ8" s="103"/>
      <c r="BK8" s="106"/>
      <c r="BL8" s="102"/>
      <c r="BM8" s="103"/>
      <c r="BN8" s="104"/>
      <c r="BO8" s="105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4"/>
      <c r="CG8" s="105"/>
      <c r="CH8" s="103"/>
      <c r="CI8" s="106"/>
      <c r="CJ8" s="102"/>
      <c r="CK8" s="103"/>
      <c r="CL8" s="104"/>
      <c r="CM8" s="105"/>
      <c r="CN8" s="103"/>
      <c r="CO8" s="104"/>
      <c r="CP8" s="105"/>
      <c r="CQ8" s="103"/>
      <c r="CR8" s="104"/>
      <c r="CS8" s="105"/>
      <c r="CT8" s="103"/>
      <c r="CU8" s="106"/>
    </row>
    <row r="9" spans="1:99" ht="19.5" customHeight="1" x14ac:dyDescent="0.25">
      <c r="B9" s="124" t="str">
        <f>Donnees!$C$23</f>
        <v>Programmation JavaScript - PokeBattle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98"/>
      <c r="M9" s="99"/>
      <c r="N9" s="97"/>
      <c r="O9" s="100"/>
      <c r="P9" s="96"/>
      <c r="Q9" s="97"/>
      <c r="R9" s="98"/>
      <c r="S9" s="99"/>
      <c r="T9" s="97"/>
      <c r="U9" s="98"/>
      <c r="V9" s="99"/>
      <c r="W9" s="97"/>
      <c r="X9" s="98"/>
      <c r="Y9" s="99"/>
      <c r="Z9" s="97"/>
      <c r="AA9" s="100"/>
      <c r="AB9" s="96"/>
      <c r="AC9" s="97"/>
      <c r="AD9" s="98"/>
      <c r="AE9" s="99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98"/>
      <c r="AW9" s="99"/>
      <c r="AX9" s="97"/>
      <c r="AY9" s="100"/>
      <c r="AZ9" s="96"/>
      <c r="BA9" s="97"/>
      <c r="BB9" s="98"/>
      <c r="BC9" s="99"/>
      <c r="BD9" s="97"/>
      <c r="BE9" s="98"/>
      <c r="BF9" s="99"/>
      <c r="BG9" s="97"/>
      <c r="BH9" s="98"/>
      <c r="BI9" s="99"/>
      <c r="BJ9" s="97"/>
      <c r="BK9" s="100"/>
      <c r="BL9" s="96"/>
      <c r="BM9" s="97"/>
      <c r="BN9" s="98"/>
      <c r="BO9" s="99"/>
      <c r="BP9" s="97"/>
      <c r="BQ9" s="98"/>
      <c r="BR9" s="99"/>
      <c r="BS9" s="97"/>
      <c r="BT9" s="98"/>
      <c r="BU9" s="99"/>
      <c r="BV9" s="97"/>
      <c r="BW9" s="100"/>
      <c r="BX9" s="96"/>
      <c r="BY9" s="97"/>
      <c r="BZ9" s="98"/>
      <c r="CA9" s="99"/>
      <c r="CB9" s="97"/>
      <c r="CC9" s="98"/>
      <c r="CD9" s="99"/>
      <c r="CE9" s="97"/>
      <c r="CF9" s="98"/>
      <c r="CG9" s="99"/>
      <c r="CH9" s="97"/>
      <c r="CI9" s="100"/>
      <c r="CJ9" s="96"/>
      <c r="CK9" s="97"/>
      <c r="CL9" s="98"/>
      <c r="CM9" s="99"/>
      <c r="CN9" s="97"/>
      <c r="CO9" s="98"/>
      <c r="CP9" s="99"/>
      <c r="CQ9" s="97"/>
      <c r="CR9" s="98"/>
      <c r="CS9" s="99"/>
      <c r="CT9" s="97"/>
      <c r="CU9" s="100"/>
    </row>
    <row r="10" spans="1:99" ht="19.5" customHeight="1" thickBot="1" x14ac:dyDescent="0.3">
      <c r="B10" s="125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4"/>
      <c r="M10" s="105"/>
      <c r="N10" s="103"/>
      <c r="O10" s="106"/>
      <c r="P10" s="102"/>
      <c r="Q10" s="103"/>
      <c r="R10" s="104"/>
      <c r="S10" s="105"/>
      <c r="T10" s="103"/>
      <c r="U10" s="104"/>
      <c r="V10" s="105"/>
      <c r="W10" s="103"/>
      <c r="X10" s="104"/>
      <c r="Y10" s="105"/>
      <c r="Z10" s="103"/>
      <c r="AA10" s="106"/>
      <c r="AB10" s="102"/>
      <c r="AC10" s="103"/>
      <c r="AD10" s="104"/>
      <c r="AE10" s="105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4"/>
      <c r="AW10" s="105"/>
      <c r="AX10" s="103"/>
      <c r="AY10" s="106"/>
      <c r="AZ10" s="102"/>
      <c r="BA10" s="103"/>
      <c r="BB10" s="104"/>
      <c r="BC10" s="105"/>
      <c r="BD10" s="103"/>
      <c r="BE10" s="104"/>
      <c r="BF10" s="105"/>
      <c r="BG10" s="103"/>
      <c r="BH10" s="104"/>
      <c r="BI10" s="105"/>
      <c r="BJ10" s="103"/>
      <c r="BK10" s="106"/>
      <c r="BL10" s="102"/>
      <c r="BM10" s="103"/>
      <c r="BN10" s="104"/>
      <c r="BO10" s="105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4"/>
      <c r="CG10" s="105"/>
      <c r="CH10" s="103"/>
      <c r="CI10" s="106"/>
      <c r="CJ10" s="102"/>
      <c r="CK10" s="103"/>
      <c r="CL10" s="104"/>
      <c r="CM10" s="105"/>
      <c r="CN10" s="103"/>
      <c r="CO10" s="104"/>
      <c r="CP10" s="105"/>
      <c r="CQ10" s="103"/>
      <c r="CR10" s="104"/>
      <c r="CS10" s="105"/>
      <c r="CT10" s="103"/>
      <c r="CU10" s="106"/>
    </row>
    <row r="11" spans="1:99" ht="19.5" customHeight="1" x14ac:dyDescent="0.25">
      <c r="B11" s="124" t="str">
        <f>Donnees!$C$24</f>
        <v>Installation des systèmes d'exploitation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98"/>
      <c r="M11" s="99"/>
      <c r="N11" s="97"/>
      <c r="O11" s="100"/>
      <c r="P11" s="96"/>
      <c r="Q11" s="97"/>
      <c r="R11" s="98"/>
      <c r="S11" s="99"/>
      <c r="T11" s="97"/>
      <c r="U11" s="98"/>
      <c r="V11" s="99"/>
      <c r="W11" s="97"/>
      <c r="X11" s="98"/>
      <c r="Y11" s="99"/>
      <c r="Z11" s="97"/>
      <c r="AA11" s="100"/>
      <c r="AB11" s="96"/>
      <c r="AC11" s="97"/>
      <c r="AD11" s="98"/>
      <c r="AE11" s="99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98"/>
      <c r="AW11" s="99"/>
      <c r="AX11" s="97"/>
      <c r="AY11" s="100"/>
      <c r="AZ11" s="96"/>
      <c r="BA11" s="97"/>
      <c r="BB11" s="98"/>
      <c r="BC11" s="99"/>
      <c r="BD11" s="97"/>
      <c r="BE11" s="98"/>
      <c r="BF11" s="99"/>
      <c r="BG11" s="97"/>
      <c r="BH11" s="98"/>
      <c r="BI11" s="99"/>
      <c r="BJ11" s="97"/>
      <c r="BK11" s="100"/>
      <c r="BL11" s="96"/>
      <c r="BM11" s="97"/>
      <c r="BN11" s="98"/>
      <c r="BO11" s="99"/>
      <c r="BP11" s="97"/>
      <c r="BQ11" s="98"/>
      <c r="BR11" s="99"/>
      <c r="BS11" s="97"/>
      <c r="BT11" s="98"/>
      <c r="BU11" s="99"/>
      <c r="BV11" s="97"/>
      <c r="BW11" s="100"/>
      <c r="BX11" s="96"/>
      <c r="BY11" s="97"/>
      <c r="BZ11" s="98"/>
      <c r="CA11" s="99"/>
      <c r="CB11" s="97"/>
      <c r="CC11" s="98"/>
      <c r="CD11" s="99"/>
      <c r="CE11" s="97"/>
      <c r="CF11" s="98"/>
      <c r="CG11" s="99"/>
      <c r="CH11" s="97"/>
      <c r="CI11" s="100"/>
      <c r="CJ11" s="96"/>
      <c r="CK11" s="97"/>
      <c r="CL11" s="98"/>
      <c r="CM11" s="99"/>
      <c r="CN11" s="97"/>
      <c r="CO11" s="98"/>
      <c r="CP11" s="99"/>
      <c r="CQ11" s="97"/>
      <c r="CR11" s="98"/>
      <c r="CS11" s="99"/>
      <c r="CT11" s="97"/>
      <c r="CU11" s="100"/>
    </row>
    <row r="12" spans="1:99" ht="19.5" customHeight="1" thickBot="1" x14ac:dyDescent="0.3">
      <c r="B12" s="125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4"/>
      <c r="M12" s="105"/>
      <c r="N12" s="103"/>
      <c r="O12" s="106"/>
      <c r="P12" s="102"/>
      <c r="Q12" s="103"/>
      <c r="R12" s="104"/>
      <c r="S12" s="105"/>
      <c r="T12" s="103"/>
      <c r="U12" s="104"/>
      <c r="V12" s="105"/>
      <c r="W12" s="103"/>
      <c r="X12" s="104"/>
      <c r="Y12" s="105"/>
      <c r="Z12" s="103"/>
      <c r="AA12" s="106"/>
      <c r="AB12" s="102"/>
      <c r="AC12" s="103"/>
      <c r="AD12" s="104"/>
      <c r="AE12" s="105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4"/>
      <c r="AW12" s="105"/>
      <c r="AX12" s="103"/>
      <c r="AY12" s="106"/>
      <c r="AZ12" s="102"/>
      <c r="BA12" s="103"/>
      <c r="BB12" s="104"/>
      <c r="BC12" s="105"/>
      <c r="BD12" s="103"/>
      <c r="BE12" s="104"/>
      <c r="BF12" s="105"/>
      <c r="BG12" s="103"/>
      <c r="BH12" s="104"/>
      <c r="BI12" s="105"/>
      <c r="BJ12" s="103"/>
      <c r="BK12" s="106"/>
      <c r="BL12" s="102"/>
      <c r="BM12" s="103"/>
      <c r="BN12" s="104"/>
      <c r="BO12" s="105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4"/>
      <c r="CG12" s="105"/>
      <c r="CH12" s="103"/>
      <c r="CI12" s="106"/>
      <c r="CJ12" s="102"/>
      <c r="CK12" s="103"/>
      <c r="CL12" s="104"/>
      <c r="CM12" s="105"/>
      <c r="CN12" s="103"/>
      <c r="CO12" s="104"/>
      <c r="CP12" s="105"/>
      <c r="CQ12" s="103"/>
      <c r="CR12" s="104"/>
      <c r="CS12" s="105"/>
      <c r="CT12" s="103"/>
      <c r="CU12" s="106"/>
    </row>
    <row r="13" spans="1:99" ht="19.5" customHeight="1" x14ac:dyDescent="0.25">
      <c r="B13" s="124" t="str">
        <f>Donnees!$C$25</f>
        <v>Programmation HTML - PokeBattle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98"/>
      <c r="M13" s="99"/>
      <c r="N13" s="97"/>
      <c r="O13" s="100"/>
      <c r="P13" s="96"/>
      <c r="Q13" s="97"/>
      <c r="R13" s="98"/>
      <c r="S13" s="99"/>
      <c r="T13" s="97"/>
      <c r="U13" s="98"/>
      <c r="V13" s="99"/>
      <c r="W13" s="97"/>
      <c r="X13" s="98"/>
      <c r="Y13" s="99"/>
      <c r="Z13" s="97"/>
      <c r="AA13" s="100"/>
      <c r="AB13" s="96"/>
      <c r="AC13" s="97"/>
      <c r="AD13" s="98"/>
      <c r="AE13" s="99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98"/>
      <c r="AW13" s="99"/>
      <c r="AX13" s="97"/>
      <c r="AY13" s="100"/>
      <c r="AZ13" s="96"/>
      <c r="BA13" s="97"/>
      <c r="BB13" s="98"/>
      <c r="BC13" s="99"/>
      <c r="BD13" s="97"/>
      <c r="BE13" s="98"/>
      <c r="BF13" s="99"/>
      <c r="BG13" s="97"/>
      <c r="BH13" s="98"/>
      <c r="BI13" s="99"/>
      <c r="BJ13" s="97"/>
      <c r="BK13" s="100"/>
      <c r="BL13" s="96"/>
      <c r="BM13" s="97"/>
      <c r="BN13" s="98"/>
      <c r="BO13" s="99"/>
      <c r="BP13" s="97"/>
      <c r="BQ13" s="98"/>
      <c r="BR13" s="99"/>
      <c r="BS13" s="97"/>
      <c r="BT13" s="98"/>
      <c r="BU13" s="99"/>
      <c r="BV13" s="97"/>
      <c r="BW13" s="100"/>
      <c r="BX13" s="96"/>
      <c r="BY13" s="97"/>
      <c r="BZ13" s="98"/>
      <c r="CA13" s="99"/>
      <c r="CB13" s="97"/>
      <c r="CC13" s="98"/>
      <c r="CD13" s="99"/>
      <c r="CE13" s="97"/>
      <c r="CF13" s="98"/>
      <c r="CG13" s="99"/>
      <c r="CH13" s="97"/>
      <c r="CI13" s="100"/>
      <c r="CJ13" s="96"/>
      <c r="CK13" s="97"/>
      <c r="CL13" s="98"/>
      <c r="CM13" s="99"/>
      <c r="CN13" s="97"/>
      <c r="CO13" s="98"/>
      <c r="CP13" s="99"/>
      <c r="CQ13" s="97"/>
      <c r="CR13" s="98"/>
      <c r="CS13" s="99"/>
      <c r="CT13" s="97"/>
      <c r="CU13" s="100"/>
    </row>
    <row r="14" spans="1:99" ht="19.5" customHeight="1" thickBot="1" x14ac:dyDescent="0.3">
      <c r="B14" s="125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4"/>
      <c r="M14" s="105"/>
      <c r="N14" s="103"/>
      <c r="O14" s="106"/>
      <c r="P14" s="102"/>
      <c r="Q14" s="103"/>
      <c r="R14" s="104"/>
      <c r="S14" s="105"/>
      <c r="T14" s="103"/>
      <c r="U14" s="104"/>
      <c r="V14" s="105"/>
      <c r="W14" s="103"/>
      <c r="X14" s="104"/>
      <c r="Y14" s="105"/>
      <c r="Z14" s="103"/>
      <c r="AA14" s="106"/>
      <c r="AB14" s="102"/>
      <c r="AC14" s="103"/>
      <c r="AD14" s="104"/>
      <c r="AE14" s="105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4"/>
      <c r="AW14" s="105"/>
      <c r="AX14" s="103"/>
      <c r="AY14" s="106"/>
      <c r="AZ14" s="102"/>
      <c r="BA14" s="103"/>
      <c r="BB14" s="104"/>
      <c r="BC14" s="105"/>
      <c r="BD14" s="103"/>
      <c r="BE14" s="104"/>
      <c r="BF14" s="105"/>
      <c r="BG14" s="103"/>
      <c r="BH14" s="104"/>
      <c r="BI14" s="105"/>
      <c r="BJ14" s="103"/>
      <c r="BK14" s="106"/>
      <c r="BL14" s="102"/>
      <c r="BM14" s="103"/>
      <c r="BN14" s="104"/>
      <c r="BO14" s="105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4"/>
      <c r="CG14" s="105"/>
      <c r="CH14" s="103"/>
      <c r="CI14" s="106"/>
      <c r="CJ14" s="102"/>
      <c r="CK14" s="103"/>
      <c r="CL14" s="104"/>
      <c r="CM14" s="105"/>
      <c r="CN14" s="103"/>
      <c r="CO14" s="104"/>
      <c r="CP14" s="105"/>
      <c r="CQ14" s="103"/>
      <c r="CR14" s="104"/>
      <c r="CS14" s="105"/>
      <c r="CT14" s="103"/>
      <c r="CU14" s="106"/>
    </row>
    <row r="15" spans="1:99" ht="19.5" customHeight="1" x14ac:dyDescent="0.25">
      <c r="B15" s="124" t="str">
        <f>Donnees!$C$26</f>
        <v>Inconvénients</v>
      </c>
      <c r="C15" s="107">
        <v>0</v>
      </c>
      <c r="D15" s="96"/>
      <c r="E15" s="97"/>
      <c r="F15" s="98"/>
      <c r="G15" s="99"/>
      <c r="H15" s="97"/>
      <c r="I15" s="98"/>
      <c r="J15" s="99"/>
      <c r="K15" s="97"/>
      <c r="L15" s="98"/>
      <c r="M15" s="99"/>
      <c r="N15" s="97"/>
      <c r="O15" s="100"/>
      <c r="P15" s="96"/>
      <c r="Q15" s="97"/>
      <c r="R15" s="98"/>
      <c r="S15" s="99"/>
      <c r="T15" s="97"/>
      <c r="U15" s="98"/>
      <c r="V15" s="99"/>
      <c r="W15" s="97"/>
      <c r="X15" s="98"/>
      <c r="Y15" s="99"/>
      <c r="Z15" s="97"/>
      <c r="AA15" s="100"/>
      <c r="AB15" s="96"/>
      <c r="AC15" s="97"/>
      <c r="AD15" s="98"/>
      <c r="AE15" s="99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98"/>
      <c r="AW15" s="99"/>
      <c r="AX15" s="97"/>
      <c r="AY15" s="100"/>
      <c r="AZ15" s="96"/>
      <c r="BA15" s="97"/>
      <c r="BB15" s="98"/>
      <c r="BC15" s="99"/>
      <c r="BD15" s="97"/>
      <c r="BE15" s="98"/>
      <c r="BF15" s="99"/>
      <c r="BG15" s="97"/>
      <c r="BH15" s="98"/>
      <c r="BI15" s="99"/>
      <c r="BJ15" s="97"/>
      <c r="BK15" s="100"/>
      <c r="BL15" s="96"/>
      <c r="BM15" s="97"/>
      <c r="BN15" s="98"/>
      <c r="BO15" s="99"/>
      <c r="BP15" s="97"/>
      <c r="BQ15" s="98"/>
      <c r="BR15" s="99"/>
      <c r="BS15" s="97"/>
      <c r="BT15" s="98"/>
      <c r="BU15" s="99"/>
      <c r="BV15" s="97"/>
      <c r="BW15" s="100"/>
      <c r="BX15" s="96"/>
      <c r="BY15" s="97"/>
      <c r="BZ15" s="98"/>
      <c r="CA15" s="99"/>
      <c r="CB15" s="97"/>
      <c r="CC15" s="98"/>
      <c r="CD15" s="99"/>
      <c r="CE15" s="97"/>
      <c r="CF15" s="98"/>
      <c r="CG15" s="99"/>
      <c r="CH15" s="97"/>
      <c r="CI15" s="100"/>
      <c r="CJ15" s="96"/>
      <c r="CK15" s="97"/>
      <c r="CL15" s="98"/>
      <c r="CM15" s="99"/>
      <c r="CN15" s="97"/>
      <c r="CO15" s="98"/>
      <c r="CP15" s="99"/>
      <c r="CQ15" s="97"/>
      <c r="CR15" s="98"/>
      <c r="CS15" s="99"/>
      <c r="CT15" s="97"/>
      <c r="CU15" s="100"/>
    </row>
    <row r="16" spans="1:99" ht="19.5" customHeight="1" thickBot="1" x14ac:dyDescent="0.3">
      <c r="A16" s="109"/>
      <c r="B16" s="125"/>
      <c r="C16" s="108">
        <v>0</v>
      </c>
      <c r="D16" s="102"/>
      <c r="E16" s="103"/>
      <c r="F16" s="104"/>
      <c r="G16" s="105"/>
      <c r="H16" s="103"/>
      <c r="I16" s="104"/>
      <c r="J16" s="105"/>
      <c r="K16" s="103"/>
      <c r="L16" s="104"/>
      <c r="M16" s="105"/>
      <c r="N16" s="103"/>
      <c r="O16" s="106"/>
      <c r="P16" s="102"/>
      <c r="Q16" s="103"/>
      <c r="R16" s="104"/>
      <c r="S16" s="105"/>
      <c r="T16" s="103"/>
      <c r="U16" s="104"/>
      <c r="V16" s="105"/>
      <c r="W16" s="103"/>
      <c r="X16" s="104"/>
      <c r="Y16" s="105"/>
      <c r="Z16" s="103"/>
      <c r="AA16" s="106"/>
      <c r="AB16" s="102"/>
      <c r="AC16" s="103"/>
      <c r="AD16" s="104"/>
      <c r="AE16" s="105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4"/>
      <c r="AW16" s="105"/>
      <c r="AX16" s="103"/>
      <c r="AY16" s="106"/>
      <c r="AZ16" s="102"/>
      <c r="BA16" s="103"/>
      <c r="BB16" s="104"/>
      <c r="BC16" s="105"/>
      <c r="BD16" s="103"/>
      <c r="BE16" s="104"/>
      <c r="BF16" s="105"/>
      <c r="BG16" s="103"/>
      <c r="BH16" s="104"/>
      <c r="BI16" s="105"/>
      <c r="BJ16" s="103"/>
      <c r="BK16" s="106"/>
      <c r="BL16" s="102"/>
      <c r="BM16" s="103"/>
      <c r="BN16" s="104"/>
      <c r="BO16" s="105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4"/>
      <c r="CG16" s="105"/>
      <c r="CH16" s="103"/>
      <c r="CI16" s="106"/>
      <c r="CJ16" s="102"/>
      <c r="CK16" s="103"/>
      <c r="CL16" s="104"/>
      <c r="CM16" s="105"/>
      <c r="CN16" s="103"/>
      <c r="CO16" s="104"/>
      <c r="CP16" s="105"/>
      <c r="CQ16" s="103"/>
      <c r="CR16" s="104"/>
      <c r="CS16" s="105"/>
      <c r="CT16" s="103"/>
      <c r="CU16" s="106"/>
    </row>
    <row r="17" spans="2:99" ht="19.5" customHeight="1" x14ac:dyDescent="0.25">
      <c r="B17" s="124" t="str">
        <f>Donnees!$C$27</f>
        <v>Absent</v>
      </c>
      <c r="C17" s="107">
        <v>0</v>
      </c>
      <c r="D17" s="96"/>
      <c r="E17" s="97"/>
      <c r="F17" s="98"/>
      <c r="G17" s="99"/>
      <c r="H17" s="97"/>
      <c r="I17" s="98"/>
      <c r="J17" s="99"/>
      <c r="K17" s="97"/>
      <c r="L17" s="98"/>
      <c r="M17" s="99"/>
      <c r="N17" s="97"/>
      <c r="O17" s="100"/>
      <c r="P17" s="96"/>
      <c r="Q17" s="97"/>
      <c r="R17" s="98"/>
      <c r="S17" s="99"/>
      <c r="T17" s="97"/>
      <c r="U17" s="98"/>
      <c r="V17" s="99"/>
      <c r="W17" s="97"/>
      <c r="X17" s="98"/>
      <c r="Y17" s="99"/>
      <c r="Z17" s="97"/>
      <c r="AA17" s="100"/>
      <c r="AB17" s="96"/>
      <c r="AC17" s="97"/>
      <c r="AD17" s="98"/>
      <c r="AE17" s="99"/>
      <c r="AF17" s="97"/>
      <c r="AG17" s="98"/>
      <c r="AH17" s="99"/>
      <c r="AI17" s="97"/>
      <c r="AJ17" s="98"/>
      <c r="AK17" s="99"/>
      <c r="AL17" s="97"/>
      <c r="AM17" s="100"/>
      <c r="AN17" s="96"/>
      <c r="AO17" s="97"/>
      <c r="AP17" s="98"/>
      <c r="AQ17" s="99"/>
      <c r="AR17" s="97"/>
      <c r="AS17" s="98"/>
      <c r="AT17" s="99"/>
      <c r="AU17" s="97"/>
      <c r="AV17" s="98"/>
      <c r="AW17" s="99"/>
      <c r="AX17" s="97"/>
      <c r="AY17" s="100"/>
      <c r="AZ17" s="96"/>
      <c r="BA17" s="97"/>
      <c r="BB17" s="98"/>
      <c r="BC17" s="99"/>
      <c r="BD17" s="97"/>
      <c r="BE17" s="98"/>
      <c r="BF17" s="99"/>
      <c r="BG17" s="97"/>
      <c r="BH17" s="98"/>
      <c r="BI17" s="99"/>
      <c r="BJ17" s="97"/>
      <c r="BK17" s="100"/>
      <c r="BL17" s="96"/>
      <c r="BM17" s="97"/>
      <c r="BN17" s="98"/>
      <c r="BO17" s="99"/>
      <c r="BP17" s="97"/>
      <c r="BQ17" s="98"/>
      <c r="BR17" s="99"/>
      <c r="BS17" s="97"/>
      <c r="BT17" s="98"/>
      <c r="BU17" s="99"/>
      <c r="BV17" s="97"/>
      <c r="BW17" s="100"/>
      <c r="BX17" s="96"/>
      <c r="BY17" s="97"/>
      <c r="BZ17" s="98"/>
      <c r="CA17" s="99"/>
      <c r="CB17" s="97"/>
      <c r="CC17" s="98"/>
      <c r="CD17" s="99"/>
      <c r="CE17" s="97"/>
      <c r="CF17" s="98"/>
      <c r="CG17" s="99"/>
      <c r="CH17" s="97"/>
      <c r="CI17" s="100"/>
      <c r="CJ17" s="96"/>
      <c r="CK17" s="97"/>
      <c r="CL17" s="98"/>
      <c r="CM17" s="99"/>
      <c r="CN17" s="97"/>
      <c r="CO17" s="98"/>
      <c r="CP17" s="99"/>
      <c r="CQ17" s="97"/>
      <c r="CR17" s="98"/>
      <c r="CS17" s="99"/>
      <c r="CT17" s="97"/>
      <c r="CU17" s="100"/>
    </row>
    <row r="18" spans="2:99" ht="19.5" customHeight="1" thickBot="1" x14ac:dyDescent="0.3">
      <c r="B18" s="125"/>
      <c r="C18" s="108">
        <v>0</v>
      </c>
      <c r="D18" s="102"/>
      <c r="E18" s="103"/>
      <c r="F18" s="104"/>
      <c r="G18" s="105"/>
      <c r="H18" s="103"/>
      <c r="I18" s="104"/>
      <c r="J18" s="105"/>
      <c r="K18" s="103"/>
      <c r="L18" s="104"/>
      <c r="M18" s="105"/>
      <c r="N18" s="103"/>
      <c r="O18" s="106"/>
      <c r="P18" s="102"/>
      <c r="Q18" s="103"/>
      <c r="R18" s="104"/>
      <c r="S18" s="105"/>
      <c r="T18" s="103"/>
      <c r="U18" s="104"/>
      <c r="V18" s="105"/>
      <c r="W18" s="103"/>
      <c r="X18" s="104"/>
      <c r="Y18" s="105"/>
      <c r="Z18" s="103"/>
      <c r="AA18" s="106"/>
      <c r="AB18" s="102"/>
      <c r="AC18" s="103"/>
      <c r="AD18" s="104"/>
      <c r="AE18" s="105"/>
      <c r="AF18" s="103"/>
      <c r="AG18" s="104"/>
      <c r="AH18" s="105"/>
      <c r="AI18" s="103"/>
      <c r="AJ18" s="104"/>
      <c r="AK18" s="105"/>
      <c r="AL18" s="103"/>
      <c r="AM18" s="106"/>
      <c r="AN18" s="102"/>
      <c r="AO18" s="103"/>
      <c r="AP18" s="104"/>
      <c r="AQ18" s="105"/>
      <c r="AR18" s="103"/>
      <c r="AS18" s="104"/>
      <c r="AT18" s="105"/>
      <c r="AU18" s="103"/>
      <c r="AV18" s="104"/>
      <c r="AW18" s="105"/>
      <c r="AX18" s="103"/>
      <c r="AY18" s="106"/>
      <c r="AZ18" s="102"/>
      <c r="BA18" s="103"/>
      <c r="BB18" s="104"/>
      <c r="BC18" s="105"/>
      <c r="BD18" s="103"/>
      <c r="BE18" s="104"/>
      <c r="BF18" s="105"/>
      <c r="BG18" s="103"/>
      <c r="BH18" s="104"/>
      <c r="BI18" s="105"/>
      <c r="BJ18" s="103"/>
      <c r="BK18" s="106"/>
      <c r="BL18" s="102"/>
      <c r="BM18" s="103"/>
      <c r="BN18" s="104"/>
      <c r="BO18" s="105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4"/>
      <c r="CG18" s="105"/>
      <c r="CH18" s="103"/>
      <c r="CI18" s="106"/>
      <c r="CJ18" s="102"/>
      <c r="CK18" s="103"/>
      <c r="CL18" s="104"/>
      <c r="CM18" s="105"/>
      <c r="CN18" s="103"/>
      <c r="CO18" s="104"/>
      <c r="CP18" s="105"/>
      <c r="CQ18" s="103"/>
      <c r="CR18" s="104"/>
      <c r="CS18" s="105"/>
      <c r="CT18" s="103"/>
      <c r="CU18" s="106"/>
    </row>
    <row r="19" spans="2:99" ht="19.5" customHeight="1" x14ac:dyDescent="0.25">
      <c r="B19" s="124" t="str">
        <f>Donnees!$C$28</f>
        <v>Rédaction du journal de travail</v>
      </c>
      <c r="C19" s="107">
        <v>0</v>
      </c>
      <c r="D19" s="96"/>
      <c r="E19" s="97"/>
      <c r="F19" s="98"/>
      <c r="G19" s="99"/>
      <c r="H19" s="97"/>
      <c r="I19" s="98"/>
      <c r="J19" s="99"/>
      <c r="K19" s="97"/>
      <c r="L19" s="98"/>
      <c r="M19" s="99"/>
      <c r="N19" s="97"/>
      <c r="O19" s="100"/>
      <c r="P19" s="96"/>
      <c r="Q19" s="97"/>
      <c r="R19" s="98"/>
      <c r="S19" s="99"/>
      <c r="T19" s="97"/>
      <c r="U19" s="98"/>
      <c r="V19" s="99"/>
      <c r="W19" s="97"/>
      <c r="X19" s="98"/>
      <c r="Y19" s="99"/>
      <c r="Z19" s="97"/>
      <c r="AA19" s="100"/>
      <c r="AB19" s="96"/>
      <c r="AC19" s="97"/>
      <c r="AD19" s="98"/>
      <c r="AE19" s="99"/>
      <c r="AF19" s="97"/>
      <c r="AG19" s="98"/>
      <c r="AH19" s="99"/>
      <c r="AI19" s="97"/>
      <c r="AJ19" s="98"/>
      <c r="AK19" s="99"/>
      <c r="AL19" s="97"/>
      <c r="AM19" s="100"/>
      <c r="AN19" s="96"/>
      <c r="AO19" s="97"/>
      <c r="AP19" s="98"/>
      <c r="AQ19" s="99"/>
      <c r="AR19" s="97"/>
      <c r="AS19" s="98"/>
      <c r="AT19" s="99"/>
      <c r="AU19" s="97"/>
      <c r="AV19" s="98"/>
      <c r="AW19" s="99"/>
      <c r="AX19" s="97"/>
      <c r="AY19" s="100"/>
      <c r="AZ19" s="96"/>
      <c r="BA19" s="97"/>
      <c r="BB19" s="98"/>
      <c r="BC19" s="99"/>
      <c r="BD19" s="97"/>
      <c r="BE19" s="98"/>
      <c r="BF19" s="99"/>
      <c r="BG19" s="97"/>
      <c r="BH19" s="98"/>
      <c r="BI19" s="99"/>
      <c r="BJ19" s="97"/>
      <c r="BK19" s="100"/>
      <c r="BL19" s="96"/>
      <c r="BM19" s="97"/>
      <c r="BN19" s="98"/>
      <c r="BO19" s="99"/>
      <c r="BP19" s="97"/>
      <c r="BQ19" s="98"/>
      <c r="BR19" s="99"/>
      <c r="BS19" s="97"/>
      <c r="BT19" s="98"/>
      <c r="BU19" s="99"/>
      <c r="BV19" s="97"/>
      <c r="BW19" s="100"/>
      <c r="BX19" s="96"/>
      <c r="BY19" s="97"/>
      <c r="BZ19" s="98"/>
      <c r="CA19" s="99"/>
      <c r="CB19" s="97"/>
      <c r="CC19" s="98"/>
      <c r="CD19" s="99"/>
      <c r="CE19" s="97"/>
      <c r="CF19" s="98"/>
      <c r="CG19" s="99"/>
      <c r="CH19" s="97"/>
      <c r="CI19" s="100"/>
      <c r="CJ19" s="96"/>
      <c r="CK19" s="97"/>
      <c r="CL19" s="98"/>
      <c r="CM19" s="99"/>
      <c r="CN19" s="97"/>
      <c r="CO19" s="98"/>
      <c r="CP19" s="99"/>
      <c r="CQ19" s="97"/>
      <c r="CR19" s="98"/>
      <c r="CS19" s="99"/>
      <c r="CT19" s="97"/>
      <c r="CU19" s="100"/>
    </row>
    <row r="20" spans="2:99" ht="19.5" customHeight="1" thickBot="1" x14ac:dyDescent="0.3">
      <c r="B20" s="125"/>
      <c r="C20" s="108">
        <v>0</v>
      </c>
      <c r="D20" s="102"/>
      <c r="E20" s="103"/>
      <c r="F20" s="104"/>
      <c r="G20" s="105"/>
      <c r="H20" s="103"/>
      <c r="I20" s="104"/>
      <c r="J20" s="105"/>
      <c r="K20" s="103"/>
      <c r="L20" s="104"/>
      <c r="M20" s="105"/>
      <c r="N20" s="103"/>
      <c r="O20" s="106"/>
      <c r="P20" s="102"/>
      <c r="Q20" s="103"/>
      <c r="R20" s="104"/>
      <c r="S20" s="105"/>
      <c r="T20" s="103"/>
      <c r="U20" s="104"/>
      <c r="V20" s="105"/>
      <c r="W20" s="103"/>
      <c r="X20" s="104"/>
      <c r="Y20" s="105"/>
      <c r="Z20" s="103"/>
      <c r="AA20" s="106"/>
      <c r="AB20" s="102"/>
      <c r="AC20" s="103"/>
      <c r="AD20" s="104"/>
      <c r="AE20" s="105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04"/>
      <c r="AQ20" s="105"/>
      <c r="AR20" s="103"/>
      <c r="AS20" s="104"/>
      <c r="AT20" s="105"/>
      <c r="AU20" s="103"/>
      <c r="AV20" s="104"/>
      <c r="AW20" s="105"/>
      <c r="AX20" s="103"/>
      <c r="AY20" s="106"/>
      <c r="AZ20" s="102"/>
      <c r="BA20" s="103"/>
      <c r="BB20" s="104"/>
      <c r="BC20" s="105"/>
      <c r="BD20" s="103"/>
      <c r="BE20" s="104"/>
      <c r="BF20" s="105"/>
      <c r="BG20" s="103"/>
      <c r="BH20" s="104"/>
      <c r="BI20" s="105"/>
      <c r="BJ20" s="103"/>
      <c r="BK20" s="106"/>
      <c r="BL20" s="102"/>
      <c r="BM20" s="103"/>
      <c r="BN20" s="104"/>
      <c r="BO20" s="105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4"/>
      <c r="CG20" s="105"/>
      <c r="CH20" s="103"/>
      <c r="CI20" s="106"/>
      <c r="CJ20" s="102"/>
      <c r="CK20" s="103"/>
      <c r="CL20" s="104"/>
      <c r="CM20" s="105"/>
      <c r="CN20" s="103"/>
      <c r="CO20" s="104"/>
      <c r="CP20" s="105"/>
      <c r="CQ20" s="103"/>
      <c r="CR20" s="104"/>
      <c r="CS20" s="105"/>
      <c r="CT20" s="103"/>
      <c r="CU20" s="106"/>
    </row>
    <row r="21" spans="2:99" ht="19.5" customHeight="1" x14ac:dyDescent="0.25">
      <c r="B21" s="124" t="str">
        <f>Donnees!$C$29</f>
        <v>Test</v>
      </c>
      <c r="C21" s="107">
        <v>0</v>
      </c>
      <c r="D21" s="96"/>
      <c r="E21" s="97"/>
      <c r="F21" s="98"/>
      <c r="G21" s="99"/>
      <c r="H21" s="97"/>
      <c r="I21" s="98"/>
      <c r="J21" s="99"/>
      <c r="K21" s="97"/>
      <c r="L21" s="98"/>
      <c r="M21" s="99"/>
      <c r="N21" s="97"/>
      <c r="O21" s="100"/>
      <c r="P21" s="96"/>
      <c r="Q21" s="97"/>
      <c r="R21" s="98"/>
      <c r="S21" s="99"/>
      <c r="T21" s="97"/>
      <c r="U21" s="98"/>
      <c r="V21" s="99"/>
      <c r="W21" s="97"/>
      <c r="X21" s="98"/>
      <c r="Y21" s="99"/>
      <c r="Z21" s="97"/>
      <c r="AA21" s="100"/>
      <c r="AB21" s="96"/>
      <c r="AC21" s="97"/>
      <c r="AD21" s="98"/>
      <c r="AE21" s="99"/>
      <c r="AF21" s="97"/>
      <c r="AG21" s="98"/>
      <c r="AH21" s="99"/>
      <c r="AI21" s="97"/>
      <c r="AJ21" s="98"/>
      <c r="AK21" s="99"/>
      <c r="AL21" s="97"/>
      <c r="AM21" s="100"/>
      <c r="AN21" s="96"/>
      <c r="AO21" s="97"/>
      <c r="AP21" s="98"/>
      <c r="AQ21" s="99"/>
      <c r="AR21" s="97"/>
      <c r="AS21" s="98"/>
      <c r="AT21" s="99"/>
      <c r="AU21" s="97"/>
      <c r="AV21" s="98"/>
      <c r="AW21" s="99"/>
      <c r="AX21" s="97"/>
      <c r="AY21" s="100"/>
      <c r="AZ21" s="96"/>
      <c r="BA21" s="97"/>
      <c r="BB21" s="98"/>
      <c r="BC21" s="99"/>
      <c r="BD21" s="97"/>
      <c r="BE21" s="98"/>
      <c r="BF21" s="99"/>
      <c r="BG21" s="97"/>
      <c r="BH21" s="98"/>
      <c r="BI21" s="99"/>
      <c r="BJ21" s="97"/>
      <c r="BK21" s="100"/>
      <c r="BL21" s="96"/>
      <c r="BM21" s="97"/>
      <c r="BN21" s="98"/>
      <c r="BO21" s="99"/>
      <c r="BP21" s="97"/>
      <c r="BQ21" s="98"/>
      <c r="BR21" s="99"/>
      <c r="BS21" s="97"/>
      <c r="BT21" s="98"/>
      <c r="BU21" s="99"/>
      <c r="BV21" s="97"/>
      <c r="BW21" s="100"/>
      <c r="BX21" s="96"/>
      <c r="BY21" s="97"/>
      <c r="BZ21" s="98"/>
      <c r="CA21" s="99"/>
      <c r="CB21" s="97"/>
      <c r="CC21" s="98"/>
      <c r="CD21" s="99"/>
      <c r="CE21" s="97"/>
      <c r="CF21" s="98"/>
      <c r="CG21" s="99"/>
      <c r="CH21" s="97"/>
      <c r="CI21" s="100"/>
      <c r="CJ21" s="96"/>
      <c r="CK21" s="97"/>
      <c r="CL21" s="98"/>
      <c r="CM21" s="99"/>
      <c r="CN21" s="97"/>
      <c r="CO21" s="98"/>
      <c r="CP21" s="99"/>
      <c r="CQ21" s="97"/>
      <c r="CR21" s="98"/>
      <c r="CS21" s="99"/>
      <c r="CT21" s="97"/>
      <c r="CU21" s="100"/>
    </row>
    <row r="22" spans="2:99" ht="19.5" customHeight="1" thickBot="1" x14ac:dyDescent="0.3">
      <c r="B22" s="125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4"/>
      <c r="M22" s="105"/>
      <c r="N22" s="103"/>
      <c r="O22" s="106"/>
      <c r="P22" s="102"/>
      <c r="Q22" s="103"/>
      <c r="R22" s="104"/>
      <c r="S22" s="105"/>
      <c r="T22" s="103"/>
      <c r="U22" s="104"/>
      <c r="V22" s="105"/>
      <c r="W22" s="103"/>
      <c r="X22" s="104"/>
      <c r="Y22" s="105"/>
      <c r="Z22" s="103"/>
      <c r="AA22" s="106"/>
      <c r="AB22" s="102"/>
      <c r="AC22" s="103"/>
      <c r="AD22" s="104"/>
      <c r="AE22" s="105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4"/>
      <c r="AW22" s="105"/>
      <c r="AX22" s="103"/>
      <c r="AY22" s="106"/>
      <c r="AZ22" s="102"/>
      <c r="BA22" s="103"/>
      <c r="BB22" s="104"/>
      <c r="BC22" s="105"/>
      <c r="BD22" s="103"/>
      <c r="BE22" s="104"/>
      <c r="BF22" s="105"/>
      <c r="BG22" s="103"/>
      <c r="BH22" s="104"/>
      <c r="BI22" s="105"/>
      <c r="BJ22" s="103"/>
      <c r="BK22" s="106"/>
      <c r="BL22" s="102"/>
      <c r="BM22" s="103"/>
      <c r="BN22" s="104"/>
      <c r="BO22" s="105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4"/>
      <c r="CG22" s="105"/>
      <c r="CH22" s="103"/>
      <c r="CI22" s="106"/>
      <c r="CJ22" s="102"/>
      <c r="CK22" s="103"/>
      <c r="CL22" s="104"/>
      <c r="CM22" s="105"/>
      <c r="CN22" s="103"/>
      <c r="CO22" s="104"/>
      <c r="CP22" s="105"/>
      <c r="CQ22" s="103"/>
      <c r="CR22" s="104"/>
      <c r="CS22" s="105"/>
      <c r="CT22" s="103"/>
      <c r="CU22" s="106"/>
    </row>
    <row r="23" spans="2:99" ht="19.5" customHeight="1" x14ac:dyDescent="0.25">
      <c r="B23" s="124" t="str">
        <f>Donnees!$C$30</f>
        <v>Vérification du travail</v>
      </c>
      <c r="C23" s="107">
        <v>0</v>
      </c>
      <c r="D23" s="96"/>
      <c r="E23" s="97"/>
      <c r="F23" s="98"/>
      <c r="G23" s="99"/>
      <c r="H23" s="97"/>
      <c r="I23" s="98"/>
      <c r="J23" s="99"/>
      <c r="K23" s="97"/>
      <c r="L23" s="98"/>
      <c r="M23" s="99"/>
      <c r="N23" s="97"/>
      <c r="O23" s="100"/>
      <c r="P23" s="96"/>
      <c r="Q23" s="97"/>
      <c r="R23" s="98"/>
      <c r="S23" s="99"/>
      <c r="T23" s="97"/>
      <c r="U23" s="98"/>
      <c r="V23" s="99"/>
      <c r="W23" s="97"/>
      <c r="X23" s="98"/>
      <c r="Y23" s="99"/>
      <c r="Z23" s="97"/>
      <c r="AA23" s="100"/>
      <c r="AB23" s="96"/>
      <c r="AC23" s="97"/>
      <c r="AD23" s="98"/>
      <c r="AE23" s="99"/>
      <c r="AF23" s="97"/>
      <c r="AG23" s="98"/>
      <c r="AH23" s="99"/>
      <c r="AI23" s="97"/>
      <c r="AJ23" s="98"/>
      <c r="AK23" s="99"/>
      <c r="AL23" s="97"/>
      <c r="AM23" s="100"/>
      <c r="AN23" s="96"/>
      <c r="AO23" s="97"/>
      <c r="AP23" s="98"/>
      <c r="AQ23" s="99"/>
      <c r="AR23" s="97"/>
      <c r="AS23" s="98"/>
      <c r="AT23" s="99"/>
      <c r="AU23" s="97"/>
      <c r="AV23" s="98"/>
      <c r="AW23" s="99"/>
      <c r="AX23" s="97"/>
      <c r="AY23" s="100"/>
      <c r="AZ23" s="96"/>
      <c r="BA23" s="97"/>
      <c r="BB23" s="98"/>
      <c r="BC23" s="99"/>
      <c r="BD23" s="97"/>
      <c r="BE23" s="98"/>
      <c r="BF23" s="99"/>
      <c r="BG23" s="97"/>
      <c r="BH23" s="98"/>
      <c r="BI23" s="99"/>
      <c r="BJ23" s="97"/>
      <c r="BK23" s="100"/>
      <c r="BL23" s="96"/>
      <c r="BM23" s="97"/>
      <c r="BN23" s="98"/>
      <c r="BO23" s="99"/>
      <c r="BP23" s="97"/>
      <c r="BQ23" s="98"/>
      <c r="BR23" s="99"/>
      <c r="BS23" s="97"/>
      <c r="BT23" s="98"/>
      <c r="BU23" s="99"/>
      <c r="BV23" s="97"/>
      <c r="BW23" s="100"/>
      <c r="BX23" s="96"/>
      <c r="BY23" s="97"/>
      <c r="BZ23" s="98"/>
      <c r="CA23" s="99"/>
      <c r="CB23" s="97"/>
      <c r="CC23" s="98"/>
      <c r="CD23" s="99"/>
      <c r="CE23" s="97"/>
      <c r="CF23" s="98"/>
      <c r="CG23" s="99"/>
      <c r="CH23" s="97"/>
      <c r="CI23" s="100"/>
      <c r="CJ23" s="96"/>
      <c r="CK23" s="97"/>
      <c r="CL23" s="98"/>
      <c r="CM23" s="99"/>
      <c r="CN23" s="97"/>
      <c r="CO23" s="98"/>
      <c r="CP23" s="99"/>
      <c r="CQ23" s="97"/>
      <c r="CR23" s="98"/>
      <c r="CS23" s="99"/>
      <c r="CT23" s="97"/>
      <c r="CU23" s="100"/>
    </row>
    <row r="24" spans="2:99" ht="19.5" customHeight="1" thickBot="1" x14ac:dyDescent="0.3">
      <c r="B24" s="125"/>
      <c r="C24" s="108">
        <v>0</v>
      </c>
      <c r="D24" s="102"/>
      <c r="E24" s="103"/>
      <c r="F24" s="104"/>
      <c r="G24" s="105"/>
      <c r="H24" s="103"/>
      <c r="I24" s="104"/>
      <c r="J24" s="105"/>
      <c r="K24" s="103"/>
      <c r="L24" s="104"/>
      <c r="M24" s="105"/>
      <c r="N24" s="103"/>
      <c r="O24" s="106"/>
      <c r="P24" s="102"/>
      <c r="Q24" s="103"/>
      <c r="R24" s="104"/>
      <c r="S24" s="105"/>
      <c r="T24" s="103"/>
      <c r="U24" s="104"/>
      <c r="V24" s="105"/>
      <c r="W24" s="103"/>
      <c r="X24" s="104"/>
      <c r="Y24" s="105"/>
      <c r="Z24" s="103"/>
      <c r="AA24" s="106"/>
      <c r="AB24" s="102"/>
      <c r="AC24" s="103"/>
      <c r="AD24" s="104"/>
      <c r="AE24" s="105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05"/>
      <c r="AU24" s="103"/>
      <c r="AV24" s="104"/>
      <c r="AW24" s="105"/>
      <c r="AX24" s="103"/>
      <c r="AY24" s="106"/>
      <c r="AZ24" s="102"/>
      <c r="BA24" s="103"/>
      <c r="BB24" s="104"/>
      <c r="BC24" s="105"/>
      <c r="BD24" s="103"/>
      <c r="BE24" s="104"/>
      <c r="BF24" s="105"/>
      <c r="BG24" s="103"/>
      <c r="BH24" s="104"/>
      <c r="BI24" s="105"/>
      <c r="BJ24" s="103"/>
      <c r="BK24" s="106"/>
      <c r="BL24" s="102"/>
      <c r="BM24" s="103"/>
      <c r="BN24" s="104"/>
      <c r="BO24" s="105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4"/>
      <c r="CG24" s="105"/>
      <c r="CH24" s="103"/>
      <c r="CI24" s="106"/>
      <c r="CJ24" s="102"/>
      <c r="CK24" s="103"/>
      <c r="CL24" s="104"/>
      <c r="CM24" s="105"/>
      <c r="CN24" s="103"/>
      <c r="CO24" s="104"/>
      <c r="CP24" s="105"/>
      <c r="CQ24" s="103"/>
      <c r="CR24" s="104"/>
      <c r="CS24" s="105"/>
      <c r="CT24" s="103"/>
      <c r="CU24" s="106"/>
    </row>
    <row r="25" spans="2:99" ht="19.5" customHeight="1" x14ac:dyDescent="0.25">
      <c r="B25" s="124" t="str">
        <f>Donnees!$C$31</f>
        <v>Apprentissage par vidéo</v>
      </c>
      <c r="C25" s="107">
        <v>0</v>
      </c>
      <c r="D25" s="96"/>
      <c r="E25" s="97"/>
      <c r="F25" s="98"/>
      <c r="G25" s="99"/>
      <c r="H25" s="97"/>
      <c r="I25" s="98"/>
      <c r="J25" s="99"/>
      <c r="K25" s="97"/>
      <c r="L25" s="98"/>
      <c r="M25" s="99"/>
      <c r="N25" s="97"/>
      <c r="O25" s="100"/>
      <c r="P25" s="96"/>
      <c r="Q25" s="97"/>
      <c r="R25" s="98"/>
      <c r="S25" s="99"/>
      <c r="T25" s="97"/>
      <c r="U25" s="98"/>
      <c r="V25" s="99"/>
      <c r="W25" s="97"/>
      <c r="X25" s="98"/>
      <c r="Y25" s="99"/>
      <c r="Z25" s="97"/>
      <c r="AA25" s="100"/>
      <c r="AB25" s="96"/>
      <c r="AC25" s="97"/>
      <c r="AD25" s="98"/>
      <c r="AE25" s="99"/>
      <c r="AF25" s="97"/>
      <c r="AG25" s="98"/>
      <c r="AH25" s="99"/>
      <c r="AI25" s="97"/>
      <c r="AJ25" s="98"/>
      <c r="AK25" s="99"/>
      <c r="AL25" s="97"/>
      <c r="AM25" s="100"/>
      <c r="AN25" s="96"/>
      <c r="AO25" s="97"/>
      <c r="AP25" s="98"/>
      <c r="AQ25" s="99"/>
      <c r="AR25" s="97"/>
      <c r="AS25" s="98"/>
      <c r="AT25" s="99"/>
      <c r="AU25" s="97"/>
      <c r="AV25" s="98"/>
      <c r="AW25" s="99"/>
      <c r="AX25" s="97"/>
      <c r="AY25" s="100"/>
      <c r="AZ25" s="96"/>
      <c r="BA25" s="97"/>
      <c r="BB25" s="98"/>
      <c r="BC25" s="99"/>
      <c r="BD25" s="97"/>
      <c r="BE25" s="98"/>
      <c r="BF25" s="99"/>
      <c r="BG25" s="97"/>
      <c r="BH25" s="98"/>
      <c r="BI25" s="99"/>
      <c r="BJ25" s="97"/>
      <c r="BK25" s="100"/>
      <c r="BL25" s="96"/>
      <c r="BM25" s="97"/>
      <c r="BN25" s="98"/>
      <c r="BO25" s="99"/>
      <c r="BP25" s="97"/>
      <c r="BQ25" s="98"/>
      <c r="BR25" s="99"/>
      <c r="BS25" s="97"/>
      <c r="BT25" s="98"/>
      <c r="BU25" s="99"/>
      <c r="BV25" s="97"/>
      <c r="BW25" s="100"/>
      <c r="BX25" s="96"/>
      <c r="BY25" s="97"/>
      <c r="BZ25" s="98"/>
      <c r="CA25" s="99"/>
      <c r="CB25" s="97"/>
      <c r="CC25" s="98"/>
      <c r="CD25" s="99"/>
      <c r="CE25" s="97"/>
      <c r="CF25" s="98"/>
      <c r="CG25" s="99"/>
      <c r="CH25" s="97"/>
      <c r="CI25" s="100"/>
      <c r="CJ25" s="96"/>
      <c r="CK25" s="97"/>
      <c r="CL25" s="98"/>
      <c r="CM25" s="99"/>
      <c r="CN25" s="97"/>
      <c r="CO25" s="98"/>
      <c r="CP25" s="99"/>
      <c r="CQ25" s="97"/>
      <c r="CR25" s="98"/>
      <c r="CS25" s="99"/>
      <c r="CT25" s="97"/>
      <c r="CU25" s="100"/>
    </row>
    <row r="26" spans="2:99" ht="19.5" customHeight="1" thickBot="1" x14ac:dyDescent="0.3">
      <c r="B26" s="125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4"/>
      <c r="M26" s="105"/>
      <c r="N26" s="103"/>
      <c r="O26" s="106"/>
      <c r="P26" s="102"/>
      <c r="Q26" s="103"/>
      <c r="R26" s="104"/>
      <c r="S26" s="105"/>
      <c r="T26" s="103"/>
      <c r="U26" s="104"/>
      <c r="V26" s="105"/>
      <c r="W26" s="103"/>
      <c r="X26" s="104"/>
      <c r="Y26" s="105"/>
      <c r="Z26" s="103"/>
      <c r="AA26" s="106"/>
      <c r="AB26" s="102"/>
      <c r="AC26" s="103"/>
      <c r="AD26" s="104"/>
      <c r="AE26" s="105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4"/>
      <c r="AW26" s="105"/>
      <c r="AX26" s="103"/>
      <c r="AY26" s="106"/>
      <c r="AZ26" s="102"/>
      <c r="BA26" s="103"/>
      <c r="BB26" s="104"/>
      <c r="BC26" s="105"/>
      <c r="BD26" s="103"/>
      <c r="BE26" s="104"/>
      <c r="BF26" s="105"/>
      <c r="BG26" s="103"/>
      <c r="BH26" s="104"/>
      <c r="BI26" s="105"/>
      <c r="BJ26" s="103"/>
      <c r="BK26" s="106"/>
      <c r="BL26" s="102"/>
      <c r="BM26" s="103"/>
      <c r="BN26" s="104"/>
      <c r="BO26" s="105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4"/>
      <c r="CG26" s="105"/>
      <c r="CH26" s="103"/>
      <c r="CI26" s="106"/>
      <c r="CJ26" s="102"/>
      <c r="CK26" s="103"/>
      <c r="CL26" s="104"/>
      <c r="CM26" s="105"/>
      <c r="CN26" s="103"/>
      <c r="CO26" s="104"/>
      <c r="CP26" s="105"/>
      <c r="CQ26" s="103"/>
      <c r="CR26" s="104"/>
      <c r="CS26" s="105"/>
      <c r="CT26" s="103"/>
      <c r="CU26" s="106"/>
    </row>
    <row r="27" spans="2:99" ht="19.5" customHeight="1" x14ac:dyDescent="0.25">
      <c r="B27" s="124" t="str">
        <f>Donnees!$C$32</f>
        <v>Planification</v>
      </c>
      <c r="C27" s="107">
        <v>0</v>
      </c>
      <c r="D27" s="96"/>
      <c r="E27" s="97"/>
      <c r="F27" s="98"/>
      <c r="G27" s="99"/>
      <c r="H27" s="97"/>
      <c r="I27" s="98"/>
      <c r="J27" s="99"/>
      <c r="K27" s="97"/>
      <c r="L27" s="98"/>
      <c r="M27" s="99"/>
      <c r="N27" s="97"/>
      <c r="O27" s="100"/>
      <c r="P27" s="96"/>
      <c r="Q27" s="97"/>
      <c r="R27" s="98"/>
      <c r="S27" s="99"/>
      <c r="T27" s="97"/>
      <c r="U27" s="98"/>
      <c r="V27" s="99"/>
      <c r="W27" s="97"/>
      <c r="X27" s="98"/>
      <c r="Y27" s="99"/>
      <c r="Z27" s="97"/>
      <c r="AA27" s="100"/>
      <c r="AB27" s="96"/>
      <c r="AC27" s="97"/>
      <c r="AD27" s="98"/>
      <c r="AE27" s="99"/>
      <c r="AF27" s="97"/>
      <c r="AG27" s="98"/>
      <c r="AH27" s="99"/>
      <c r="AI27" s="97"/>
      <c r="AJ27" s="98"/>
      <c r="AK27" s="99"/>
      <c r="AL27" s="97"/>
      <c r="AM27" s="100"/>
      <c r="AN27" s="96"/>
      <c r="AO27" s="97"/>
      <c r="AP27" s="98"/>
      <c r="AQ27" s="99"/>
      <c r="AR27" s="97"/>
      <c r="AS27" s="98"/>
      <c r="AT27" s="99"/>
      <c r="AU27" s="97"/>
      <c r="AV27" s="98"/>
      <c r="AW27" s="99"/>
      <c r="AX27" s="97"/>
      <c r="AY27" s="100"/>
      <c r="AZ27" s="96"/>
      <c r="BA27" s="97"/>
      <c r="BB27" s="98"/>
      <c r="BC27" s="99"/>
      <c r="BD27" s="97"/>
      <c r="BE27" s="98"/>
      <c r="BF27" s="99"/>
      <c r="BG27" s="97"/>
      <c r="BH27" s="98"/>
      <c r="BI27" s="99"/>
      <c r="BJ27" s="97"/>
      <c r="BK27" s="100"/>
      <c r="BL27" s="96"/>
      <c r="BM27" s="97"/>
      <c r="BN27" s="98"/>
      <c r="BO27" s="99"/>
      <c r="BP27" s="97"/>
      <c r="BQ27" s="98"/>
      <c r="BR27" s="99"/>
      <c r="BS27" s="97"/>
      <c r="BT27" s="98"/>
      <c r="BU27" s="99"/>
      <c r="BV27" s="97"/>
      <c r="BW27" s="100"/>
      <c r="BX27" s="96"/>
      <c r="BY27" s="97"/>
      <c r="BZ27" s="98"/>
      <c r="CA27" s="99"/>
      <c r="CB27" s="97"/>
      <c r="CC27" s="98"/>
      <c r="CD27" s="99"/>
      <c r="CE27" s="97"/>
      <c r="CF27" s="98"/>
      <c r="CG27" s="99"/>
      <c r="CH27" s="97"/>
      <c r="CI27" s="100"/>
      <c r="CJ27" s="96"/>
      <c r="CK27" s="97"/>
      <c r="CL27" s="98"/>
      <c r="CM27" s="99"/>
      <c r="CN27" s="97"/>
      <c r="CO27" s="98"/>
      <c r="CP27" s="99"/>
      <c r="CQ27" s="97"/>
      <c r="CR27" s="98"/>
      <c r="CS27" s="99"/>
      <c r="CT27" s="97"/>
      <c r="CU27" s="100"/>
    </row>
    <row r="28" spans="2:99" ht="19.5" customHeight="1" thickBot="1" x14ac:dyDescent="0.3">
      <c r="B28" s="125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4"/>
      <c r="M28" s="105"/>
      <c r="N28" s="103"/>
      <c r="O28" s="106"/>
      <c r="P28" s="102"/>
      <c r="Q28" s="103"/>
      <c r="R28" s="104"/>
      <c r="S28" s="105"/>
      <c r="T28" s="103"/>
      <c r="U28" s="104"/>
      <c r="V28" s="105"/>
      <c r="W28" s="103"/>
      <c r="X28" s="104"/>
      <c r="Y28" s="105"/>
      <c r="Z28" s="103"/>
      <c r="AA28" s="106"/>
      <c r="AB28" s="102"/>
      <c r="AC28" s="103"/>
      <c r="AD28" s="104"/>
      <c r="AE28" s="105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4"/>
      <c r="AW28" s="105"/>
      <c r="AX28" s="103"/>
      <c r="AY28" s="106"/>
      <c r="AZ28" s="102"/>
      <c r="BA28" s="103"/>
      <c r="BB28" s="104"/>
      <c r="BC28" s="105"/>
      <c r="BD28" s="103"/>
      <c r="BE28" s="104"/>
      <c r="BF28" s="105"/>
      <c r="BG28" s="103"/>
      <c r="BH28" s="104"/>
      <c r="BI28" s="105"/>
      <c r="BJ28" s="103"/>
      <c r="BK28" s="106"/>
      <c r="BL28" s="102"/>
      <c r="BM28" s="103"/>
      <c r="BN28" s="104"/>
      <c r="BO28" s="105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4"/>
      <c r="CG28" s="105"/>
      <c r="CH28" s="103"/>
      <c r="CI28" s="106"/>
      <c r="CJ28" s="102"/>
      <c r="CK28" s="103"/>
      <c r="CL28" s="104"/>
      <c r="CM28" s="105"/>
      <c r="CN28" s="103"/>
      <c r="CO28" s="104"/>
      <c r="CP28" s="105"/>
      <c r="CQ28" s="103"/>
      <c r="CR28" s="104"/>
      <c r="CS28" s="105"/>
      <c r="CT28" s="103"/>
      <c r="CU28" s="106"/>
    </row>
    <row r="29" spans="2:99" ht="19.5" customHeight="1" x14ac:dyDescent="0.25">
      <c r="B29" s="124" t="str">
        <f>Donnees!$C$33</f>
        <v>Programmation CSS - PokeBattle</v>
      </c>
      <c r="C29" s="107">
        <v>0</v>
      </c>
      <c r="D29" s="96"/>
      <c r="E29" s="97"/>
      <c r="F29" s="98"/>
      <c r="G29" s="99"/>
      <c r="H29" s="97"/>
      <c r="I29" s="98"/>
      <c r="J29" s="99"/>
      <c r="K29" s="97"/>
      <c r="L29" s="98"/>
      <c r="M29" s="99"/>
      <c r="N29" s="97"/>
      <c r="O29" s="100"/>
      <c r="P29" s="96"/>
      <c r="Q29" s="97"/>
      <c r="R29" s="98"/>
      <c r="S29" s="99"/>
      <c r="T29" s="97"/>
      <c r="U29" s="98"/>
      <c r="V29" s="99"/>
      <c r="W29" s="97"/>
      <c r="X29" s="98"/>
      <c r="Y29" s="99"/>
      <c r="Z29" s="97"/>
      <c r="AA29" s="100"/>
      <c r="AB29" s="96"/>
      <c r="AC29" s="97"/>
      <c r="AD29" s="98"/>
      <c r="AE29" s="99"/>
      <c r="AF29" s="97"/>
      <c r="AG29" s="98"/>
      <c r="AH29" s="99"/>
      <c r="AI29" s="97"/>
      <c r="AJ29" s="98"/>
      <c r="AK29" s="99"/>
      <c r="AL29" s="97"/>
      <c r="AM29" s="100"/>
      <c r="AN29" s="96"/>
      <c r="AO29" s="97"/>
      <c r="AP29" s="98"/>
      <c r="AQ29" s="99"/>
      <c r="AR29" s="97"/>
      <c r="AS29" s="98"/>
      <c r="AT29" s="99"/>
      <c r="AU29" s="97"/>
      <c r="AV29" s="98"/>
      <c r="AW29" s="99"/>
      <c r="AX29" s="97"/>
      <c r="AY29" s="100"/>
      <c r="AZ29" s="96"/>
      <c r="BA29" s="97"/>
      <c r="BB29" s="98"/>
      <c r="BC29" s="99"/>
      <c r="BD29" s="97"/>
      <c r="BE29" s="98"/>
      <c r="BF29" s="99"/>
      <c r="BG29" s="97"/>
      <c r="BH29" s="98"/>
      <c r="BI29" s="99"/>
      <c r="BJ29" s="97"/>
      <c r="BK29" s="100"/>
      <c r="BL29" s="96"/>
      <c r="BM29" s="97"/>
      <c r="BN29" s="98"/>
      <c r="BO29" s="99"/>
      <c r="BP29" s="97"/>
      <c r="BQ29" s="98"/>
      <c r="BR29" s="99"/>
      <c r="BS29" s="97"/>
      <c r="BT29" s="98"/>
      <c r="BU29" s="99"/>
      <c r="BV29" s="97"/>
      <c r="BW29" s="100"/>
      <c r="BX29" s="96"/>
      <c r="BY29" s="97"/>
      <c r="BZ29" s="98"/>
      <c r="CA29" s="99"/>
      <c r="CB29" s="97"/>
      <c r="CC29" s="98"/>
      <c r="CD29" s="99"/>
      <c r="CE29" s="97"/>
      <c r="CF29" s="98"/>
      <c r="CG29" s="99"/>
      <c r="CH29" s="97"/>
      <c r="CI29" s="100"/>
      <c r="CJ29" s="96"/>
      <c r="CK29" s="97"/>
      <c r="CL29" s="98"/>
      <c r="CM29" s="99"/>
      <c r="CN29" s="97"/>
      <c r="CO29" s="98"/>
      <c r="CP29" s="99"/>
      <c r="CQ29" s="97"/>
      <c r="CR29" s="98"/>
      <c r="CS29" s="99"/>
      <c r="CT29" s="97"/>
      <c r="CU29" s="100"/>
    </row>
    <row r="30" spans="2:99" ht="19.5" customHeight="1" x14ac:dyDescent="0.25">
      <c r="B30" s="125"/>
      <c r="C30" s="108">
        <v>0</v>
      </c>
      <c r="D30" s="102"/>
      <c r="E30" s="103"/>
      <c r="F30" s="104"/>
      <c r="G30" s="105"/>
      <c r="H30" s="103"/>
      <c r="I30" s="104"/>
      <c r="J30" s="105"/>
      <c r="K30" s="103"/>
      <c r="L30" s="104"/>
      <c r="M30" s="105"/>
      <c r="N30" s="103"/>
      <c r="O30" s="106"/>
      <c r="P30" s="102"/>
      <c r="Q30" s="103"/>
      <c r="R30" s="104"/>
      <c r="S30" s="105"/>
      <c r="T30" s="103"/>
      <c r="U30" s="104"/>
      <c r="V30" s="105"/>
      <c r="W30" s="103"/>
      <c r="X30" s="104"/>
      <c r="Y30" s="105"/>
      <c r="Z30" s="103"/>
      <c r="AA30" s="106"/>
      <c r="AB30" s="102"/>
      <c r="AC30" s="103"/>
      <c r="AD30" s="104"/>
      <c r="AE30" s="105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03"/>
      <c r="AS30" s="104"/>
      <c r="AT30" s="105"/>
      <c r="AU30" s="103"/>
      <c r="AV30" s="104"/>
      <c r="AW30" s="105"/>
      <c r="AX30" s="103"/>
      <c r="AY30" s="106"/>
      <c r="AZ30" s="102"/>
      <c r="BA30" s="103"/>
      <c r="BB30" s="104"/>
      <c r="BC30" s="105"/>
      <c r="BD30" s="103"/>
      <c r="BE30" s="104"/>
      <c r="BF30" s="105"/>
      <c r="BG30" s="103"/>
      <c r="BH30" s="104"/>
      <c r="BI30" s="105"/>
      <c r="BJ30" s="103"/>
      <c r="BK30" s="106"/>
      <c r="BL30" s="102"/>
      <c r="BM30" s="103"/>
      <c r="BN30" s="104"/>
      <c r="BO30" s="105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4"/>
      <c r="CG30" s="105"/>
      <c r="CH30" s="103"/>
      <c r="CI30" s="106"/>
      <c r="CJ30" s="102"/>
      <c r="CK30" s="103"/>
      <c r="CL30" s="104"/>
      <c r="CM30" s="105"/>
      <c r="CN30" s="103"/>
      <c r="CO30" s="104"/>
      <c r="CP30" s="105"/>
      <c r="CQ30" s="103"/>
      <c r="CR30" s="104"/>
      <c r="CS30" s="105"/>
      <c r="CT30" s="103"/>
      <c r="CU30" s="106"/>
    </row>
    <row r="31" spans="2:99" ht="19.5" customHeight="1" x14ac:dyDescent="0.25">
      <c r="B31" s="110" t="s">
        <v>16</v>
      </c>
      <c r="C31" s="111">
        <f>SUM($C$3,$C$5,$C$7,$C$9,$C$11,$C$13,$C$15,$C$17,$C$19,$C$21,$C$23,$C$25,$C$27,$C$29)</f>
        <v>0</v>
      </c>
      <c r="D31" s="112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4"/>
      <c r="P31" s="112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4"/>
      <c r="AB31" s="112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4"/>
      <c r="AN31" s="112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4"/>
      <c r="AZ31" s="112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4"/>
      <c r="BL31" s="112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4"/>
      <c r="BX31" s="112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4"/>
      <c r="CJ31" s="112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4"/>
    </row>
    <row r="32" spans="2:99" ht="19.5" customHeight="1" thickBot="1" x14ac:dyDescent="0.3">
      <c r="B32" s="115" t="s">
        <v>17</v>
      </c>
      <c r="C32" s="116">
        <f>SUM($C$4,$C$6,$C$8,$C$10,$C$12,$C$14,$C$16,$C$18,$C$20,$C$22,$C$24,$C$26,$C$28,$C$30)</f>
        <v>0</v>
      </c>
      <c r="D32" s="117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9"/>
      <c r="P32" s="117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9"/>
      <c r="AB32" s="117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9"/>
      <c r="AN32" s="117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9"/>
      <c r="AZ32" s="117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  <c r="BK32" s="119"/>
      <c r="BL32" s="117"/>
      <c r="BM32" s="118"/>
      <c r="BN32" s="118"/>
      <c r="BO32" s="118"/>
      <c r="BP32" s="118"/>
      <c r="BQ32" s="118"/>
      <c r="BR32" s="118"/>
      <c r="BS32" s="118"/>
      <c r="BT32" s="118"/>
      <c r="BU32" s="118"/>
      <c r="BV32" s="118"/>
      <c r="BW32" s="119"/>
      <c r="BX32" s="117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9"/>
      <c r="CJ32" s="117"/>
      <c r="CK32" s="118"/>
      <c r="CL32" s="118"/>
      <c r="CM32" s="118"/>
      <c r="CN32" s="118"/>
      <c r="CO32" s="118"/>
      <c r="CP32" s="118"/>
      <c r="CQ32" s="118"/>
      <c r="CR32" s="118"/>
      <c r="CS32" s="118"/>
      <c r="CT32" s="118"/>
      <c r="CU32" s="119"/>
    </row>
  </sheetData>
  <sheetProtection sheet="1" objects="1" scenarios="1" insertRows="0" selectLockedCells="1"/>
  <mergeCells count="22">
    <mergeCell ref="AZ2:BK2"/>
    <mergeCell ref="BL2:BW2"/>
    <mergeCell ref="BX2:CI2"/>
    <mergeCell ref="CJ2:CU2"/>
    <mergeCell ref="B27:B28"/>
    <mergeCell ref="B13:B14"/>
    <mergeCell ref="B29:B30"/>
    <mergeCell ref="D2:O2"/>
    <mergeCell ref="P2:AA2"/>
    <mergeCell ref="AB2:AM2"/>
    <mergeCell ref="AN2:AY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13</v>
      </c>
      <c r="C2" s="15" t="s">
        <v>14</v>
      </c>
    </row>
    <row r="3" spans="1:4" ht="19.5" customHeight="1" x14ac:dyDescent="0.25">
      <c r="A3" s="19"/>
      <c r="B3" s="132" t="s">
        <v>15</v>
      </c>
      <c r="C3" s="16">
        <v>0</v>
      </c>
    </row>
    <row r="4" spans="1:4" ht="19.5" customHeight="1" x14ac:dyDescent="0.25">
      <c r="A4" s="19"/>
      <c r="B4" s="13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85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113"/>
  <sheetViews>
    <sheetView topLeftCell="A19" workbookViewId="0">
      <selection activeCell="C33" sqref="C3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85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89" t="s">
        <v>57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18</v>
      </c>
      <c r="B15" s="7">
        <v>2</v>
      </c>
      <c r="C15" s="17"/>
      <c r="D15" s="85"/>
    </row>
    <row r="16" spans="1:4" ht="27.75" thickBot="1" x14ac:dyDescent="0.3">
      <c r="A16" s="8" t="s">
        <v>19</v>
      </c>
      <c r="B16" s="18" t="s">
        <v>20</v>
      </c>
      <c r="C16" s="8" t="s">
        <v>21</v>
      </c>
      <c r="D16" s="8" t="s">
        <v>22</v>
      </c>
    </row>
    <row r="17" spans="1:8" x14ac:dyDescent="0.25">
      <c r="A17" s="5" t="s">
        <v>53</v>
      </c>
      <c r="B17" s="4"/>
      <c r="C17" s="121" t="s">
        <v>80</v>
      </c>
      <c r="D17" s="9"/>
    </row>
    <row r="18" spans="1:8" ht="27" x14ac:dyDescent="0.25">
      <c r="A18" s="1" t="s">
        <v>69</v>
      </c>
      <c r="B18" s="2"/>
      <c r="C18" s="120" t="s">
        <v>81</v>
      </c>
      <c r="D18" s="10"/>
    </row>
    <row r="19" spans="1:8" ht="27" x14ac:dyDescent="0.25">
      <c r="A19" s="1" t="s">
        <v>70</v>
      </c>
      <c r="B19" s="2"/>
      <c r="C19" s="10" t="s">
        <v>81</v>
      </c>
      <c r="D19" s="10"/>
    </row>
    <row r="20" spans="1:8" ht="12.75" customHeight="1" x14ac:dyDescent="0.25">
      <c r="A20" s="1" t="s">
        <v>68</v>
      </c>
      <c r="B20" s="2"/>
      <c r="C20" s="10" t="s">
        <v>81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23</v>
      </c>
      <c r="B27" s="12">
        <f>SUM(B17:B26)</f>
        <v>0</v>
      </c>
      <c r="C27" s="89" t="s">
        <v>57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18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19</v>
      </c>
      <c r="B30" s="18" t="s">
        <v>20</v>
      </c>
      <c r="C30" s="8" t="s">
        <v>21</v>
      </c>
      <c r="D30" s="8" t="s">
        <v>22</v>
      </c>
      <c r="F30" s="38"/>
      <c r="G30" s="39"/>
      <c r="H30" s="39"/>
    </row>
    <row r="31" spans="1:8" ht="40.5" x14ac:dyDescent="0.3">
      <c r="A31" s="5" t="s">
        <v>68</v>
      </c>
      <c r="B31" s="4"/>
      <c r="C31" s="121" t="s">
        <v>82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23</v>
      </c>
      <c r="B41" s="12">
        <f>SUM(B31:B40)</f>
        <v>0</v>
      </c>
      <c r="C41" s="89" t="s">
        <v>57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18</v>
      </c>
      <c r="B43" s="7">
        <v>4</v>
      </c>
      <c r="C43" s="17"/>
      <c r="D43" s="85"/>
    </row>
    <row r="44" spans="1:4" ht="27.75" thickBot="1" x14ac:dyDescent="0.3">
      <c r="A44" s="8" t="s">
        <v>19</v>
      </c>
      <c r="B44" s="18" t="s">
        <v>20</v>
      </c>
      <c r="C44" s="8" t="s">
        <v>21</v>
      </c>
      <c r="D44" s="8" t="s">
        <v>22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23</v>
      </c>
      <c r="B55" s="12">
        <f>SUM(B45:B54)</f>
        <v>0</v>
      </c>
      <c r="C55" s="89" t="s">
        <v>57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18</v>
      </c>
      <c r="B57" s="7">
        <v>5</v>
      </c>
      <c r="C57" s="17"/>
      <c r="D57" s="85"/>
    </row>
    <row r="58" spans="1:4" ht="27.75" thickBot="1" x14ac:dyDescent="0.3">
      <c r="A58" s="8" t="s">
        <v>19</v>
      </c>
      <c r="B58" s="18" t="s">
        <v>20</v>
      </c>
      <c r="C58" s="8" t="s">
        <v>21</v>
      </c>
      <c r="D58" s="8" t="s">
        <v>22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23</v>
      </c>
      <c r="B69" s="12">
        <f>SUM(B59:B68)</f>
        <v>0</v>
      </c>
      <c r="C69" s="89" t="s">
        <v>57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18</v>
      </c>
      <c r="B71" s="7">
        <v>6</v>
      </c>
      <c r="C71" s="17"/>
      <c r="D71" s="85"/>
    </row>
    <row r="72" spans="1:4" ht="27.75" thickBot="1" x14ac:dyDescent="0.3">
      <c r="A72" s="8" t="s">
        <v>19</v>
      </c>
      <c r="B72" s="18" t="s">
        <v>20</v>
      </c>
      <c r="C72" s="8" t="s">
        <v>21</v>
      </c>
      <c r="D72" s="8" t="s">
        <v>22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23</v>
      </c>
      <c r="B83" s="12">
        <f>SUM(B73:B82)</f>
        <v>0</v>
      </c>
      <c r="C83" s="89" t="s">
        <v>57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18</v>
      </c>
      <c r="B85" s="7">
        <v>7</v>
      </c>
      <c r="C85" s="17"/>
      <c r="D85" s="85"/>
    </row>
    <row r="86" spans="1:4" ht="27.75" thickBot="1" x14ac:dyDescent="0.3">
      <c r="A86" s="8" t="s">
        <v>19</v>
      </c>
      <c r="B86" s="18" t="s">
        <v>20</v>
      </c>
      <c r="C86" s="8" t="s">
        <v>21</v>
      </c>
      <c r="D86" s="8" t="s">
        <v>22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23</v>
      </c>
      <c r="B97" s="12">
        <f>SUM(B87:B96)</f>
        <v>0</v>
      </c>
      <c r="C97" s="89" t="s">
        <v>57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18</v>
      </c>
      <c r="B99" s="7">
        <v>8</v>
      </c>
      <c r="C99" s="17"/>
      <c r="D99" s="85"/>
    </row>
    <row r="100" spans="1:4" ht="27.75" thickBot="1" x14ac:dyDescent="0.3">
      <c r="A100" s="8" t="s">
        <v>19</v>
      </c>
      <c r="B100" s="18" t="s">
        <v>20</v>
      </c>
      <c r="C100" s="8" t="s">
        <v>21</v>
      </c>
      <c r="D100" s="8" t="s">
        <v>22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23</v>
      </c>
      <c r="B111" s="12">
        <f>SUM(B101:B110)</f>
        <v>0</v>
      </c>
      <c r="C111" s="89" t="s">
        <v>57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6" t="s">
        <v>26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168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H153"/>
  <sheetViews>
    <sheetView tabSelected="1" topLeftCell="A46" workbookViewId="0">
      <selection activeCell="C61" sqref="C6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>
        <f>Donnees!$C$9</f>
        <v>45205</v>
      </c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 t="s">
        <v>33</v>
      </c>
      <c r="B3" s="4">
        <v>12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12</v>
      </c>
      <c r="C18" s="87" t="s">
        <v>25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18</v>
      </c>
      <c r="B20" s="43">
        <v>2</v>
      </c>
      <c r="C20" s="44" t="s">
        <v>24</v>
      </c>
      <c r="D20" s="53">
        <f>$D$1+7</f>
        <v>45212</v>
      </c>
    </row>
    <row r="21" spans="1:8" ht="27.75" thickBot="1" x14ac:dyDescent="0.3">
      <c r="A21" s="45" t="s">
        <v>19</v>
      </c>
      <c r="B21" s="46" t="s">
        <v>20</v>
      </c>
      <c r="C21" s="45" t="s">
        <v>21</v>
      </c>
      <c r="D21" s="45" t="s">
        <v>22</v>
      </c>
    </row>
    <row r="22" spans="1:8" ht="40.5" x14ac:dyDescent="0.25">
      <c r="A22" s="5" t="s">
        <v>51</v>
      </c>
      <c r="B22" s="4">
        <v>1</v>
      </c>
      <c r="C22" s="121" t="s">
        <v>72</v>
      </c>
      <c r="D22" s="9"/>
    </row>
    <row r="23" spans="1:8" x14ac:dyDescent="0.25">
      <c r="A23" s="1" t="s">
        <v>54</v>
      </c>
      <c r="B23" s="2">
        <v>1</v>
      </c>
      <c r="C23" s="120" t="s">
        <v>73</v>
      </c>
      <c r="D23" s="10"/>
    </row>
    <row r="24" spans="1:8" ht="27" x14ac:dyDescent="0.25">
      <c r="A24" s="1" t="s">
        <v>56</v>
      </c>
      <c r="B24" s="2">
        <v>1</v>
      </c>
      <c r="C24" s="10" t="s">
        <v>74</v>
      </c>
      <c r="D24" s="88" t="s">
        <v>71</v>
      </c>
    </row>
    <row r="25" spans="1:8" ht="12.75" customHeight="1" x14ac:dyDescent="0.25">
      <c r="A25" s="1" t="s">
        <v>34</v>
      </c>
      <c r="B25" s="2">
        <v>1</v>
      </c>
      <c r="C25" s="120" t="s">
        <v>75</v>
      </c>
      <c r="D25" s="10"/>
      <c r="F25" s="31"/>
      <c r="G25" s="32"/>
      <c r="H25" s="33"/>
    </row>
    <row r="26" spans="1:8" ht="40.5" x14ac:dyDescent="0.25">
      <c r="A26" s="1" t="s">
        <v>69</v>
      </c>
      <c r="B26" s="2">
        <v>3</v>
      </c>
      <c r="C26" s="10" t="s">
        <v>76</v>
      </c>
      <c r="D26" s="10"/>
      <c r="F26" s="34"/>
      <c r="G26" s="30"/>
      <c r="H26" s="30"/>
    </row>
    <row r="27" spans="1:8" ht="27" x14ac:dyDescent="0.25">
      <c r="A27" s="1" t="s">
        <v>70</v>
      </c>
      <c r="B27" s="2">
        <v>3</v>
      </c>
      <c r="C27" s="120" t="s">
        <v>77</v>
      </c>
      <c r="D27" s="10"/>
      <c r="F27" s="36"/>
      <c r="G27" s="37"/>
      <c r="H27" s="37"/>
    </row>
    <row r="28" spans="1:8" ht="40.5" x14ac:dyDescent="0.25">
      <c r="A28" s="1" t="s">
        <v>68</v>
      </c>
      <c r="B28" s="2">
        <v>1</v>
      </c>
      <c r="C28" s="120" t="s">
        <v>78</v>
      </c>
      <c r="D28" s="10"/>
      <c r="F28" s="36"/>
      <c r="G28" s="37"/>
      <c r="H28" s="37"/>
    </row>
    <row r="29" spans="1:8" ht="27" x14ac:dyDescent="0.25">
      <c r="A29" s="1" t="s">
        <v>50</v>
      </c>
      <c r="B29" s="2">
        <v>1</v>
      </c>
      <c r="C29" s="10" t="s">
        <v>79</v>
      </c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23</v>
      </c>
      <c r="B37" s="47">
        <f>SUM(B22:B36)</f>
        <v>12</v>
      </c>
      <c r="C37" s="87" t="s">
        <v>25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18</v>
      </c>
      <c r="B39" s="43">
        <v>3</v>
      </c>
      <c r="C39" s="44" t="s">
        <v>24</v>
      </c>
      <c r="D39" s="53">
        <f>$D$20+7</f>
        <v>45219</v>
      </c>
    </row>
    <row r="40" spans="1:8" ht="27.75" thickBot="1" x14ac:dyDescent="0.3">
      <c r="A40" s="45" t="s">
        <v>19</v>
      </c>
      <c r="B40" s="46" t="s">
        <v>20</v>
      </c>
      <c r="C40" s="45" t="s">
        <v>21</v>
      </c>
      <c r="D40" s="45" t="s">
        <v>22</v>
      </c>
    </row>
    <row r="41" spans="1:8" ht="54" x14ac:dyDescent="0.25">
      <c r="A41" s="5" t="s">
        <v>68</v>
      </c>
      <c r="B41" s="4">
        <v>11</v>
      </c>
      <c r="C41" s="121" t="s">
        <v>84</v>
      </c>
      <c r="D41" s="9"/>
    </row>
    <row r="42" spans="1:8" ht="27" x14ac:dyDescent="0.25">
      <c r="A42" s="1" t="s">
        <v>34</v>
      </c>
      <c r="B42" s="2">
        <v>1</v>
      </c>
      <c r="C42" s="120" t="s">
        <v>83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23</v>
      </c>
      <c r="B56" s="47">
        <f>SUM(B41:B55)</f>
        <v>12</v>
      </c>
      <c r="C56" s="87" t="s">
        <v>25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18</v>
      </c>
      <c r="B58" s="43">
        <v>4</v>
      </c>
      <c r="C58" s="44" t="s">
        <v>24</v>
      </c>
      <c r="D58" s="53">
        <f>$D$39+7</f>
        <v>45226</v>
      </c>
    </row>
    <row r="59" spans="1:4" ht="27.75" thickBot="1" x14ac:dyDescent="0.3">
      <c r="A59" s="45" t="s">
        <v>19</v>
      </c>
      <c r="B59" s="46" t="s">
        <v>20</v>
      </c>
      <c r="C59" s="45" t="s">
        <v>21</v>
      </c>
      <c r="D59" s="45" t="s">
        <v>22</v>
      </c>
    </row>
    <row r="60" spans="1:4" ht="54" x14ac:dyDescent="0.25">
      <c r="A60" s="5" t="s">
        <v>68</v>
      </c>
      <c r="B60" s="4">
        <v>12</v>
      </c>
      <c r="C60" s="121" t="s">
        <v>85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23</v>
      </c>
      <c r="B75" s="47">
        <f>SUM(B60:B74)</f>
        <v>12</v>
      </c>
      <c r="C75" s="87" t="s">
        <v>25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18</v>
      </c>
      <c r="B77" s="43">
        <v>5</v>
      </c>
      <c r="C77" s="44" t="s">
        <v>24</v>
      </c>
      <c r="D77" s="53">
        <f>$D$58+7</f>
        <v>45233</v>
      </c>
    </row>
    <row r="78" spans="1:4" ht="27.75" thickBot="1" x14ac:dyDescent="0.3">
      <c r="A78" s="45" t="s">
        <v>19</v>
      </c>
      <c r="B78" s="46" t="s">
        <v>20</v>
      </c>
      <c r="C78" s="45" t="s">
        <v>21</v>
      </c>
      <c r="D78" s="45" t="s">
        <v>22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23</v>
      </c>
      <c r="B94" s="47">
        <f>SUM(B79:B93)</f>
        <v>0</v>
      </c>
      <c r="C94" s="87" t="s">
        <v>25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18</v>
      </c>
      <c r="B96" s="43">
        <v>6</v>
      </c>
      <c r="C96" s="44" t="s">
        <v>24</v>
      </c>
      <c r="D96" s="53">
        <f>$D$77+7</f>
        <v>45240</v>
      </c>
    </row>
    <row r="97" spans="1:4" ht="27.75" thickBot="1" x14ac:dyDescent="0.3">
      <c r="A97" s="45" t="s">
        <v>19</v>
      </c>
      <c r="B97" s="46" t="s">
        <v>20</v>
      </c>
      <c r="C97" s="45" t="s">
        <v>21</v>
      </c>
      <c r="D97" s="45" t="s">
        <v>22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23</v>
      </c>
      <c r="B113" s="47">
        <f>SUM(B98:B112)</f>
        <v>0</v>
      </c>
      <c r="C113" s="87" t="s">
        <v>25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18</v>
      </c>
      <c r="B115" s="43">
        <v>7</v>
      </c>
      <c r="C115" s="44" t="s">
        <v>24</v>
      </c>
      <c r="D115" s="53">
        <f>$D$96+7</f>
        <v>45247</v>
      </c>
    </row>
    <row r="116" spans="1:4" ht="27.75" thickBot="1" x14ac:dyDescent="0.3">
      <c r="A116" s="45" t="s">
        <v>19</v>
      </c>
      <c r="B116" s="46" t="s">
        <v>20</v>
      </c>
      <c r="C116" s="45" t="s">
        <v>21</v>
      </c>
      <c r="D116" s="45" t="s">
        <v>22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23</v>
      </c>
      <c r="B132" s="47">
        <f>SUM(B117:B131)</f>
        <v>0</v>
      </c>
      <c r="C132" s="87" t="s">
        <v>25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18</v>
      </c>
      <c r="B134" s="43">
        <v>8</v>
      </c>
      <c r="C134" s="44" t="s">
        <v>24</v>
      </c>
      <c r="D134" s="53">
        <f>$D$115+7</f>
        <v>45254</v>
      </c>
    </row>
    <row r="135" spans="1:4" ht="27.75" thickBot="1" x14ac:dyDescent="0.3">
      <c r="A135" s="45" t="s">
        <v>19</v>
      </c>
      <c r="B135" s="46" t="s">
        <v>20</v>
      </c>
      <c r="C135" s="45" t="s">
        <v>21</v>
      </c>
      <c r="D135" s="45" t="s">
        <v>22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23</v>
      </c>
      <c r="B151" s="47">
        <f>SUM(B136:B150)</f>
        <v>0</v>
      </c>
      <c r="C151" s="87" t="s">
        <v>25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26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hyperlinks>
    <hyperlink ref="D2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884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78849" r:id="rId5" name="btnImportRealis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34"/>
  <sheetViews>
    <sheetView topLeftCell="A67" zoomScale="85" zoomScaleNormal="85" workbookViewId="0">
      <selection activeCell="A60" sqref="A60:C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>
        <f>Donnees!$C$9</f>
        <v>45205</v>
      </c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 t="s">
        <v>32</v>
      </c>
      <c r="B3" s="4">
        <v>3</v>
      </c>
      <c r="C3" s="9" t="s">
        <v>35</v>
      </c>
      <c r="D3" s="9"/>
    </row>
    <row r="4" spans="1:4" s="52" customFormat="1" ht="27" x14ac:dyDescent="0.25">
      <c r="A4" s="1" t="s">
        <v>34</v>
      </c>
      <c r="B4" s="2">
        <v>2</v>
      </c>
      <c r="C4" s="10" t="s">
        <v>36</v>
      </c>
      <c r="D4" s="10"/>
    </row>
    <row r="5" spans="1:4" s="52" customFormat="1" x14ac:dyDescent="0.25">
      <c r="A5" s="1" t="s">
        <v>31</v>
      </c>
      <c r="B5" s="2">
        <v>2</v>
      </c>
      <c r="C5" s="10" t="s">
        <v>38</v>
      </c>
      <c r="D5" s="88" t="s">
        <v>37</v>
      </c>
    </row>
    <row r="6" spans="1:4" s="52" customFormat="1" ht="40.5" x14ac:dyDescent="0.25">
      <c r="A6" s="1" t="s">
        <v>27</v>
      </c>
      <c r="B6" s="2">
        <v>5</v>
      </c>
      <c r="C6" s="10" t="s">
        <v>39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 t="s">
        <v>10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12</v>
      </c>
      <c r="C18" s="87" t="s">
        <v>25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18</v>
      </c>
      <c r="B20" s="43">
        <v>2</v>
      </c>
      <c r="C20" s="44" t="s">
        <v>24</v>
      </c>
      <c r="D20" s="53">
        <f>$D$1+8</f>
        <v>45213</v>
      </c>
    </row>
    <row r="21" spans="1:8" ht="27.75" thickBot="1" x14ac:dyDescent="0.3">
      <c r="A21" s="45" t="s">
        <v>19</v>
      </c>
      <c r="B21" s="46" t="s">
        <v>20</v>
      </c>
      <c r="C21" s="45" t="s">
        <v>21</v>
      </c>
      <c r="D21" s="45" t="s">
        <v>22</v>
      </c>
    </row>
    <row r="22" spans="1:8" x14ac:dyDescent="0.25">
      <c r="A22" s="5" t="s">
        <v>33</v>
      </c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23</v>
      </c>
      <c r="B37" s="47">
        <f>SUM(B22:B36)</f>
        <v>0</v>
      </c>
      <c r="C37" s="87" t="s">
        <v>25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18</v>
      </c>
      <c r="B39" s="43">
        <v>3</v>
      </c>
      <c r="C39" s="44" t="s">
        <v>24</v>
      </c>
      <c r="D39" s="53">
        <f>$D$20+7</f>
        <v>45220</v>
      </c>
    </row>
    <row r="40" spans="1:8" ht="27.75" thickBot="1" x14ac:dyDescent="0.3">
      <c r="A40" s="45" t="s">
        <v>19</v>
      </c>
      <c r="B40" s="46" t="s">
        <v>20</v>
      </c>
      <c r="C40" s="45" t="s">
        <v>21</v>
      </c>
      <c r="D40" s="45" t="s">
        <v>22</v>
      </c>
    </row>
    <row r="41" spans="1:8" x14ac:dyDescent="0.25">
      <c r="A41" s="5" t="s">
        <v>27</v>
      </c>
      <c r="B41" s="4">
        <v>1</v>
      </c>
      <c r="C41" s="9" t="s">
        <v>40</v>
      </c>
      <c r="D41" s="9"/>
    </row>
    <row r="42" spans="1:8" x14ac:dyDescent="0.25">
      <c r="A42" s="1" t="s">
        <v>32</v>
      </c>
      <c r="B42" s="2">
        <v>2</v>
      </c>
      <c r="C42" s="10" t="s">
        <v>41</v>
      </c>
      <c r="D42" s="10"/>
    </row>
    <row r="43" spans="1:8" ht="27" x14ac:dyDescent="0.25">
      <c r="A43" s="1" t="s">
        <v>31</v>
      </c>
      <c r="B43" s="2">
        <v>2</v>
      </c>
      <c r="C43" s="10" t="s">
        <v>42</v>
      </c>
      <c r="D43" s="10"/>
    </row>
    <row r="44" spans="1:8" x14ac:dyDescent="0.25">
      <c r="A44" s="1" t="s">
        <v>28</v>
      </c>
      <c r="B44" s="2">
        <v>3</v>
      </c>
      <c r="C44" s="10" t="s">
        <v>43</v>
      </c>
      <c r="D44" s="10"/>
    </row>
    <row r="45" spans="1:8" x14ac:dyDescent="0.25">
      <c r="A45" s="1" t="s">
        <v>29</v>
      </c>
      <c r="B45" s="2">
        <v>1</v>
      </c>
      <c r="C45" s="10" t="s">
        <v>46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23</v>
      </c>
      <c r="B56" s="47">
        <f>SUM(B41:B55)</f>
        <v>9</v>
      </c>
      <c r="C56" s="87" t="s">
        <v>25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18</v>
      </c>
      <c r="B58" s="43">
        <v>4</v>
      </c>
      <c r="C58" s="44" t="s">
        <v>24</v>
      </c>
      <c r="D58" s="53">
        <f>$D$39+7</f>
        <v>45227</v>
      </c>
    </row>
    <row r="59" spans="1:4" ht="27.75" thickBot="1" x14ac:dyDescent="0.3">
      <c r="A59" s="45" t="s">
        <v>19</v>
      </c>
      <c r="B59" s="46" t="s">
        <v>20</v>
      </c>
      <c r="C59" s="45" t="s">
        <v>21</v>
      </c>
      <c r="D59" s="45" t="s">
        <v>22</v>
      </c>
    </row>
    <row r="60" spans="1:4" ht="27.75" thickBot="1" x14ac:dyDescent="0.3">
      <c r="A60" s="1" t="s">
        <v>34</v>
      </c>
      <c r="B60" s="2">
        <v>1</v>
      </c>
      <c r="C60" s="9" t="s">
        <v>44</v>
      </c>
      <c r="D60" s="9"/>
    </row>
    <row r="61" spans="1:4" x14ac:dyDescent="0.25">
      <c r="A61" s="1"/>
      <c r="B61" s="2"/>
      <c r="C61" s="9"/>
      <c r="D61" s="10"/>
    </row>
    <row r="62" spans="1:4" x14ac:dyDescent="0.25">
      <c r="A62" s="1" t="s">
        <v>30</v>
      </c>
      <c r="B62" s="2">
        <v>2</v>
      </c>
      <c r="C62" s="10" t="s">
        <v>45</v>
      </c>
      <c r="D62" s="10"/>
    </row>
    <row r="63" spans="1:4" x14ac:dyDescent="0.25">
      <c r="A63" s="1" t="s">
        <v>29</v>
      </c>
      <c r="B63" s="2">
        <v>4</v>
      </c>
      <c r="C63" s="10" t="s">
        <v>47</v>
      </c>
      <c r="D63" s="10"/>
    </row>
    <row r="64" spans="1:4" x14ac:dyDescent="0.25">
      <c r="A64" s="1" t="s">
        <v>28</v>
      </c>
      <c r="B64" s="2">
        <v>2</v>
      </c>
      <c r="C64" s="10" t="s">
        <v>48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23</v>
      </c>
      <c r="B75" s="47">
        <f>SUM(B60:B74)</f>
        <v>9</v>
      </c>
      <c r="C75" s="87" t="s">
        <v>25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18</v>
      </c>
      <c r="B77" s="43">
        <v>5</v>
      </c>
      <c r="C77" s="44" t="s">
        <v>24</v>
      </c>
      <c r="D77" s="53">
        <f>$D$58+7</f>
        <v>45234</v>
      </c>
    </row>
    <row r="78" spans="1:4" ht="27.75" thickBot="1" x14ac:dyDescent="0.3">
      <c r="A78" s="45" t="s">
        <v>19</v>
      </c>
      <c r="B78" s="46" t="s">
        <v>20</v>
      </c>
      <c r="C78" s="45" t="s">
        <v>21</v>
      </c>
      <c r="D78" s="45" t="s">
        <v>22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23</v>
      </c>
      <c r="B94" s="47">
        <f>SUM(B79:B93)</f>
        <v>0</v>
      </c>
      <c r="C94" s="87" t="s">
        <v>25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18</v>
      </c>
      <c r="B96" s="43">
        <v>6</v>
      </c>
      <c r="C96" s="44" t="s">
        <v>24</v>
      </c>
      <c r="D96" s="53">
        <f>$D$77+7</f>
        <v>45241</v>
      </c>
    </row>
    <row r="97" spans="1:4" ht="27.75" thickBot="1" x14ac:dyDescent="0.3">
      <c r="A97" s="45" t="s">
        <v>19</v>
      </c>
      <c r="B97" s="46" t="s">
        <v>20</v>
      </c>
      <c r="C97" s="45" t="s">
        <v>21</v>
      </c>
      <c r="D97" s="45" t="s">
        <v>22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23</v>
      </c>
      <c r="B113" s="47">
        <f>SUM(B98:B112)</f>
        <v>0</v>
      </c>
      <c r="C113" s="87" t="s">
        <v>25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18</v>
      </c>
      <c r="B115" s="43">
        <v>7</v>
      </c>
      <c r="C115" s="44" t="s">
        <v>24</v>
      </c>
      <c r="D115" s="53">
        <f>$D$96+7</f>
        <v>45248</v>
      </c>
    </row>
    <row r="116" spans="1:4" ht="27.75" thickBot="1" x14ac:dyDescent="0.3">
      <c r="A116" s="45" t="s">
        <v>19</v>
      </c>
      <c r="B116" s="46" t="s">
        <v>20</v>
      </c>
      <c r="C116" s="45" t="s">
        <v>21</v>
      </c>
      <c r="D116" s="45" t="s">
        <v>22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23</v>
      </c>
      <c r="B132" s="47">
        <f>SUM(B117:B131)</f>
        <v>0</v>
      </c>
      <c r="C132" s="87" t="s">
        <v>25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6" t="s">
        <v>26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3.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H36"/>
  <sheetViews>
    <sheetView workbookViewId="0">
      <selection activeCell="D12" sqref="D11:D1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list" allowBlank="1" showInputMessage="1" showErrorMessage="1" sqref="A27:A34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3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65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8F302392E73041B6BCE39E03C2BCED" ma:contentTypeVersion="15" ma:contentTypeDescription="Crée un document." ma:contentTypeScope="" ma:versionID="aa698520e940dae942c228ac89a49961">
  <xsd:schema xmlns:xsd="http://www.w3.org/2001/XMLSchema" xmlns:xs="http://www.w3.org/2001/XMLSchema" xmlns:p="http://schemas.microsoft.com/office/2006/metadata/properties" xmlns:ns3="308fd9e7-0be8-44ba-81f3-723628cb95d5" xmlns:ns4="02e62082-1ed3-4499-b3c5-d63020de9536" targetNamespace="http://schemas.microsoft.com/office/2006/metadata/properties" ma:root="true" ma:fieldsID="a33428bf27ce476fb47c88fde28a952a" ns3:_="" ns4:_="">
    <xsd:import namespace="308fd9e7-0be8-44ba-81f3-723628cb95d5"/>
    <xsd:import namespace="02e62082-1ed3-4499-b3c5-d63020de953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Location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8fd9e7-0be8-44ba-81f3-723628cb95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e62082-1ed3-4499-b3c5-d63020de953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08fd9e7-0be8-44ba-81f3-723628cb95d5" xsi:nil="true"/>
  </documentManagement>
</p:properties>
</file>

<file path=customXml/itemProps1.xml><?xml version="1.0" encoding="utf-8"?>
<ds:datastoreItem xmlns:ds="http://schemas.openxmlformats.org/officeDocument/2006/customXml" ds:itemID="{F7ACA9F2-031D-42D5-A80D-3D8F0B9B03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8fd9e7-0be8-44ba-81f3-723628cb95d5"/>
    <ds:schemaRef ds:uri="02e62082-1ed3-4499-b3c5-d63020de95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308fd9e7-0be8-44ba-81f3-723628cb95d5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02e62082-1ed3-4499-b3c5-d63020de9536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15</vt:i4>
      </vt:variant>
    </vt:vector>
  </HeadingPairs>
  <TitlesOfParts>
    <vt:vector size="26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JNLTRAVl</vt:lpstr>
      <vt:lpstr>JNLTRAV</vt:lpstr>
      <vt:lpstr>Feuil1</vt:lpstr>
      <vt:lpstr>achievementWeek (2)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'achievementWeek (2)'!objRealizedWeek</vt:lpstr>
      <vt:lpstr>JNLTRAV!objRealizedWeek</vt:lpstr>
      <vt:lpstr>JNLTRAVl!objRealizedWeek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JulienPierre Mares</dc:creator>
  <cp:keywords/>
  <dc:description/>
  <cp:lastModifiedBy>AdrianFederico ToledoCampoverde</cp:lastModifiedBy>
  <cp:revision/>
  <dcterms:created xsi:type="dcterms:W3CDTF">1996-10-21T11:03:58Z</dcterms:created>
  <dcterms:modified xsi:type="dcterms:W3CDTF">2023-11-27T14:37:01Z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0x010100288F302392E73041B6BCE39E03C2BCED</vt:lpwstr>
  </property>
  <property fmtid="{D5CDD505-2E9C-101B-9397-08002B2CF9AE}" pid="3" name="MediaServiceImageTags">
    <vt:lpwstr/>
  </property>
</Properties>
</file>